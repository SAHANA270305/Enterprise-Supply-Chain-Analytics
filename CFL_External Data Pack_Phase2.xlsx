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naybhatt_cisco_com/Documents/Desktop/CFL/CFL External/FY26/"/>
    </mc:Choice>
  </mc:AlternateContent>
  <xr:revisionPtr revIDLastSave="0" documentId="8_{38B8C4CB-04F7-45ED-A199-A6A179E5722A}" xr6:coauthVersionLast="47" xr6:coauthVersionMax="47" xr10:uidLastSave="{00000000-0000-0000-0000-000000000000}"/>
  <bookViews>
    <workbookView xWindow="-98" yWindow="-98" windowWidth="21795" windowHeight="12975" xr2:uid="{F5379E5B-EDAA-49EE-B1E7-F9E6F1A9A895}"/>
  </bookViews>
  <sheets>
    <sheet name="Glossary" sheetId="13" r:id="rId1"/>
    <sheet name="Ph.2 - Masked Product Insights " sheetId="8" r:id="rId2"/>
    <sheet name="Ph.2 Data Pack-Actual Booking" sheetId="15" r:id="rId3"/>
    <sheet name="Ph.2 - Big Deal " sheetId="17" r:id="rId4"/>
    <sheet name="Ph.2 - SCMS" sheetId="18" r:id="rId5"/>
    <sheet name="Ph.2 - VMS" sheetId="19" r:id="rId6"/>
  </sheets>
  <definedNames>
    <definedName name="_xlnm._FilterDatabase" localSheetId="1" hidden="1">'Ph.2 - Masked Product Insights '!$A$1:$B$21</definedName>
    <definedName name="_xlnm._FilterDatabase" localSheetId="2" hidden="1">'Ph.2 Data Pack-Actual Booking'!$A$2:$V$23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3" l="1"/>
  <c r="G8" i="13"/>
  <c r="H7" i="13"/>
  <c r="G7" i="13"/>
  <c r="H6" i="13"/>
  <c r="G6" i="13"/>
  <c r="H5" i="13"/>
  <c r="G5" i="13"/>
  <c r="H4" i="13"/>
  <c r="G4" i="13" s="1"/>
  <c r="H3" i="13"/>
  <c r="G3" i="13"/>
</calcChain>
</file>

<file path=xl/sharedStrings.xml><?xml version="1.0" encoding="utf-8"?>
<sst xmlns="http://schemas.openxmlformats.org/spreadsheetml/2006/main" count="1158" uniqueCount="193">
  <si>
    <t>Description</t>
  </si>
  <si>
    <t>FY2025 Q3</t>
  </si>
  <si>
    <t>FY2025 Q4</t>
  </si>
  <si>
    <t>FY2026 Q1</t>
  </si>
  <si>
    <t>Sustaining</t>
  </si>
  <si>
    <t>Decline</t>
  </si>
  <si>
    <t>WIRELESS ACCESS POINT WiFi6 (External Antenna) Indoor</t>
  </si>
  <si>
    <t>ROUTER Branch 4-Port PoE</t>
  </si>
  <si>
    <t>SWITCH Industrial 8-Port PoE</t>
  </si>
  <si>
    <t>ROUTER Edge Aggregation Fiber</t>
  </si>
  <si>
    <t>PLID Masked</t>
  </si>
  <si>
    <t>MFG Book Units</t>
  </si>
  <si>
    <t>Big Deals</t>
  </si>
  <si>
    <t>Avg Deals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</si>
  <si>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</si>
  <si>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</si>
  <si>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</si>
  <si>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</si>
  <si>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</si>
  <si>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</si>
  <si>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</si>
  <si>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</si>
  <si>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PLID (Masked)</t>
  </si>
  <si>
    <t>Sales Coverage Code</t>
  </si>
  <si>
    <t>2023Q1</t>
  </si>
  <si>
    <t>2023Q2</t>
  </si>
  <si>
    <t>2023Q3</t>
  </si>
  <si>
    <t>2023Q4</t>
  </si>
  <si>
    <t>2024Q1</t>
  </si>
  <si>
    <t>COMMERCIAL</t>
  </si>
  <si>
    <t>ENTERPRISE</t>
  </si>
  <si>
    <t>OTHER</t>
  </si>
  <si>
    <t>PUBLIC SECTOR</t>
  </si>
  <si>
    <t>SERVICE PROVIDER</t>
  </si>
  <si>
    <t>SMB</t>
  </si>
  <si>
    <t>Vms Top Name</t>
  </si>
  <si>
    <t>Education- Public/Private</t>
  </si>
  <si>
    <t>Energy/Utilities</t>
  </si>
  <si>
    <t>Financial Services</t>
  </si>
  <si>
    <t>Government</t>
  </si>
  <si>
    <t>Health Care</t>
  </si>
  <si>
    <t>Hospitality/Hotels &amp; Leisure</t>
  </si>
  <si>
    <t>Manufacturing</t>
  </si>
  <si>
    <t>Media/Entertainment</t>
  </si>
  <si>
    <t>Professional Services</t>
  </si>
  <si>
    <t>Retail</t>
  </si>
  <si>
    <t>Service Provider</t>
  </si>
  <si>
    <t>Technical Services</t>
  </si>
  <si>
    <t>Transportation</t>
  </si>
  <si>
    <t>Unknown</t>
  </si>
  <si>
    <t>Wholesale/Distribution</t>
  </si>
  <si>
    <t>SECURITY FIREWALL Next-Generation_1</t>
  </si>
  <si>
    <t>SECURITY FIREWALL Next-Generation_2</t>
  </si>
  <si>
    <t>Product Name</t>
  </si>
  <si>
    <t>Broad classification of Product</t>
  </si>
  <si>
    <t>Fiscal Qtr</t>
  </si>
  <si>
    <t xml:space="preserve">Cisco Fiscal Calendar is divided into 4 Qtrs </t>
  </si>
  <si>
    <t>Q1</t>
  </si>
  <si>
    <t>Quarter 1 - August to October</t>
  </si>
  <si>
    <t>Q2</t>
  </si>
  <si>
    <t xml:space="preserve">Quarter 2 - November to January </t>
  </si>
  <si>
    <t>Q3</t>
  </si>
  <si>
    <t>Quarter 3 - February to April</t>
  </si>
  <si>
    <t>Q4</t>
  </si>
  <si>
    <t>Quarter 4 - May to July</t>
  </si>
  <si>
    <t>Units</t>
  </si>
  <si>
    <t>Number of individual products booked</t>
  </si>
  <si>
    <t xml:space="preserve">Demand Planners Forecast </t>
  </si>
  <si>
    <t>BIAS</t>
  </si>
  <si>
    <t xml:space="preserve">Prediction bias is the systematic deviation between estimated and actual values. It is useful to see if you tend to overestimate (BIAS &gt; 0) or underestimate your predictions (BIAS &lt; 0) for all your items. Formula: (Forecast Booking units - Actual Booking units)/Actual Booking Units.
</t>
  </si>
  <si>
    <t>Accuracy</t>
  </si>
  <si>
    <t>Product Life Cycle (PLC)</t>
  </si>
  <si>
    <t>Sustaining - Product has reached maturity and has steady demamd.
NPI - Product has been newly introduced to the market/customer
Decline - Product experiences reduced demand, declining sales and potential obsolescence due to newer technologies or market changes</t>
  </si>
  <si>
    <t xml:space="preserve">Cost Weighted Rank </t>
  </si>
  <si>
    <t>Calculated using cost of individual product X CBP Prelim forecast</t>
  </si>
  <si>
    <t>Accuracy Calculation Examples</t>
  </si>
  <si>
    <t xml:space="preserve"> PRODUCT</t>
  </si>
  <si>
    <t xml:space="preserve">Forecast </t>
  </si>
  <si>
    <t>Booking Actuals</t>
  </si>
  <si>
    <t>Bias</t>
  </si>
  <si>
    <t>A</t>
  </si>
  <si>
    <t>B</t>
  </si>
  <si>
    <t>C</t>
  </si>
  <si>
    <t>D</t>
  </si>
  <si>
    <t>E</t>
  </si>
  <si>
    <t>F</t>
  </si>
  <si>
    <t>ACTUAL UNITS</t>
  </si>
  <si>
    <t>Cost Rank</t>
  </si>
  <si>
    <t xml:space="preserve">Product Name </t>
  </si>
  <si>
    <t>Product Life Cycle</t>
  </si>
  <si>
    <t>FY23 Q2</t>
  </si>
  <si>
    <t>FY23 Q3</t>
  </si>
  <si>
    <t>FY23 Q4</t>
  </si>
  <si>
    <t>FY24 Q1</t>
  </si>
  <si>
    <t>FY24 Q2</t>
  </si>
  <si>
    <t>FY24 Q3</t>
  </si>
  <si>
    <t>FY24 Q4</t>
  </si>
  <si>
    <t>FY25 Q1</t>
  </si>
  <si>
    <t>FY25 Q2</t>
  </si>
  <si>
    <t>FY25 Q3</t>
  </si>
  <si>
    <t>FY25 Q4</t>
  </si>
  <si>
    <t>FY26 Q1</t>
  </si>
  <si>
    <t>FY26 Q2</t>
  </si>
  <si>
    <t xml:space="preserve">Forecasted Units </t>
  </si>
  <si>
    <t>Demand Planning Team's Forecast Accuracy</t>
  </si>
  <si>
    <t>Marketing Team's Forecast Accuracy</t>
  </si>
  <si>
    <t>1. SCMS – Sales Channel Market Segment</t>
  </si>
  <si>
    <t>Definition:</t>
  </si>
  <si>
    <t>SCMS represents the broad customer categories that Cisco targets through its sales channels, grouping organizations based on their size, type, and purchasing model.</t>
  </si>
  <si>
    <t>SCMS Category</t>
  </si>
  <si>
    <t>Commercial</t>
  </si>
  <si>
    <t>Mid-size businesses that adopt Cisco networking and technology solutions to support business operations and growth.</t>
  </si>
  <si>
    <t>Enterprise</t>
  </si>
  <si>
    <t>Large global or national organizations with complex IT environments requiring large-scale Cisco infrastructure and solutions.</t>
  </si>
  <si>
    <t>Other</t>
  </si>
  <si>
    <t>Customers that do not clearly fall under the standard SCMS categories.</t>
  </si>
  <si>
    <t>Public Sector</t>
  </si>
  <si>
    <t>Government bodies and publicly funded institutions such as education and healthcare that procure Cisco technologies.</t>
  </si>
  <si>
    <t>Telecom and network service providers that use Cisco infrastructure to deliver connectivity and digital services to customers.</t>
  </si>
  <si>
    <t>SMB (Small &amp; Medium Business)</t>
  </si>
  <si>
    <t>Smaller organizations adopting Cisco networking solutions for foundational IT infrastructure and connectivity.</t>
  </si>
  <si>
    <t>2. VMS – Vertical Market Segment</t>
  </si>
  <si>
    <t>VMS represents industry-specific segments that classify customers based on the sector they operate in, helping Cisco understand adoption of its technologies across industries.</t>
  </si>
  <si>
    <t>VMS Category</t>
  </si>
  <si>
    <t>Education – Public/Private</t>
  </si>
  <si>
    <t>Schools, colleges, and universities using Cisco networks for campus connectivity, digital learning, and research infrastructure.</t>
  </si>
  <si>
    <t>Energy / Utilities</t>
  </si>
  <si>
    <t>Organizations involved in energy production, distribution, and utilities using Cisco networks for operational and industrial connectivity.</t>
  </si>
  <si>
    <t>Banks, insurance companies, and financial institutions using Cisco technologies for secure transactions and digital banking infrastructure.</t>
  </si>
  <si>
    <t>National, state, or local government agencies using Cisco networks to support public services and secure communications.</t>
  </si>
  <si>
    <t>Hospitals and healthcare providers using Cisco infrastructure for medical systems, patient data, and connected healthcare services.</t>
  </si>
  <si>
    <t>Hospitality / Hotels &amp; Leisure</t>
  </si>
  <si>
    <t>Hotels, resorts, and leisure businesses using Cisco networking to support guest connectivity and operational systems.</t>
  </si>
  <si>
    <t>Industrial and production companies using Cisco networks for factory automation, IoT, and supply chain connectivity.</t>
  </si>
  <si>
    <t>Media / Entertainment</t>
  </si>
  <si>
    <t>Media companies and broadcasters using Cisco technology for content production, streaming, and distribution.</t>
  </si>
  <si>
    <t>Consulting, legal, accounting, and advisory firms using Cisco solutions for enterprise connectivity and collaboration.</t>
  </si>
  <si>
    <t>Retail chains and stores using Cisco networks for store connectivity, point-of-sale systems, and customer engagement technologies.</t>
  </si>
  <si>
    <t>Telecom and internet providers deploying Cisco infrastructure to deliver network services.</t>
  </si>
  <si>
    <t>Technology service organizations providing IT or engineering services supported by Cisco infrastructure.</t>
  </si>
  <si>
    <t>Airlines, railways, logistics, and transportation networks using Cisco solutions for operational connectivity and monitoring.</t>
  </si>
  <si>
    <t>Customers whose industry classification is not clearly identified.</t>
  </si>
  <si>
    <t>Wholesale / Distribution</t>
  </si>
  <si>
    <t>Organizations involved in product distribution and supply chain operations using Cisco networking infrastructure.</t>
  </si>
  <si>
    <t>Your Forecast FY26 Q2</t>
  </si>
  <si>
    <t>Data Science Team's Forecast Accuracy</t>
  </si>
  <si>
    <t xml:space="preserve">Forecast provided by the Data Science team. It is a multi-variate stream that incorporates both macroeconomic factors and Cisco-internal features during forecasting. </t>
  </si>
  <si>
    <t>MVcL team's forecast</t>
  </si>
  <si>
    <t xml:space="preserve">Marketing team's Forecast </t>
  </si>
  <si>
    <t xml:space="preserve">Forecast accuracy is the degree of difference between the forecasted demand and the actual order booking. In this case, between Forecasted demand and Actual Booked units. At a product level accuracy is calculated using the formula:MAX(0,1-ABSOLUTE(BIAS))
To calculate overall accuracy for 30 products we will calculate weighted accuracy using product cost to make sure high cost product accuracy gets more weightage than low cost product. </t>
  </si>
  <si>
    <t>Forecast loaded by Marketing team</t>
  </si>
  <si>
    <t>Demand Planner's Prediction</t>
  </si>
  <si>
    <t xml:space="preserve">Marketing Team's Forecast </t>
  </si>
  <si>
    <t>Data Science Team's Forecast</t>
  </si>
  <si>
    <t>Demand Planners' Forecast</t>
  </si>
  <si>
    <t xml:space="preserve"> SCMS Units</t>
  </si>
  <si>
    <t xml:space="preserve"> VMS Units</t>
  </si>
  <si>
    <t>Masked Product Name</t>
  </si>
  <si>
    <t>Enterprise Wi-Fi 6 access point supporting 802.11ax with dual 5-GHz radios and one 2.4-GHz radio, designed for high-density deployments. External antenna design enables flexible coverage tuning for offices, campuses, and large indoor environments. Supports OFDMA, MU-MIMO, and advanced security integration with enterprise wireless controllers.</t>
  </si>
  <si>
    <t>SWITCH Enterprise 8-Port PoE+ with Fiber Uplink</t>
  </si>
  <si>
    <t>Compact managed access switch with 8 PoE+ ports delivering power to endpoints such as IP phones, wireless access points, and surveillance cameras. Includes fiber uplinks for high-speed connection to aggregation switches and supports Layer 2 switching features for small business and branch environments.</t>
  </si>
  <si>
    <t>ROUTER Branch LTE with PoE</t>
  </si>
  <si>
    <t>Integrated services branch router combining WAN routing, LTE cellular connectivity for primary or backup internet access, and multiple PoE ports for powering branch devices. Supports VPN connectivity, SD-WAN capability, and secure access for distributed offices.</t>
  </si>
  <si>
    <t>Entry-level enterprise IP desk phone designed for voice communication over IP networks. Provides HD voice quality, programmable line keys, and integration with enterprise call management platforms for reliable office telephony.</t>
  </si>
  <si>
    <t>Ruggedized industrial Ethernet switch with 8 PoE ports and fiber uplinks designed to operate in harsh environments such as manufacturing floors and transportation systems. Supports industrial protocols and resilient network designs for operational technology environments.</t>
  </si>
  <si>
    <t>High-performance edge aggregation router designed for metro Ethernet and enterprise WAN networks. Supports multiple 1G/10G interfaces and advanced routing capabilities for service provider edge deployments and large enterprise aggregation networks.</t>
  </si>
  <si>
    <t>SWITCH Enterprise 24-Port UPOE with 25G Uplink</t>
  </si>
  <si>
    <t>Enterprise access switch supporting Universal PoE (UPOE) to deliver higher power per port to advanced endpoints such as Wi-Fi 6 access points, PTZ cameras, and IoT devices. Includes high-speed uplinks enabling scalable connectivity to campus aggregation or core switches.</t>
  </si>
  <si>
    <t>IP PHONE Enterprise Video Desk</t>
  </si>
  <si>
    <t>Advanced enterprise desk phone featuring HD voice, optional video capability, integrated Wi-Fi and Bluetooth connectivity, and multiple programmable line keys. Designed for executives and collaboration-heavy workspaces.</t>
  </si>
  <si>
    <t>Enterprise VoIP desk phone designed for cloud-based communication platforms. Provides HD audio, multiple line support, and programmable keys for efficient call management in office environments.</t>
  </si>
  <si>
    <t>Enterprise IP phone supporting high-definition voice communication and multi-line call functionality. Designed for everyday office users needing reliable communication tools integrated with unified communication systems.</t>
  </si>
  <si>
    <t>SWITCH Enterprise 24-Port High-Power PoE</t>
  </si>
  <si>
    <t>Enterprise campus switch delivering high-power PoE capabilities suitable for devices that require greater wattage, such as advanced wireless access points and security cameras. Supports Layer 2/Layer 3 switching and integration with campus network automation platforms.</t>
  </si>
  <si>
    <t>SWITCH Industrial 8-Port Ethernet</t>
  </si>
  <si>
    <t>Compact industrial Ethernet switch with multiple copper ports and fiber uplinks designed for industrial automation and control networks. Supports secure and reliable connectivity for manufacturing systems and critical infrastructure.</t>
  </si>
  <si>
    <t>SWITCH Data Center Modular Core</t>
  </si>
  <si>
    <t>Modular chassis switch designed for high-performance data center environments. Supports multiple line cards, high-speed interfaces, and scalable switching capacity suitable for spine or core layers of large data center fabrics.</t>
  </si>
  <si>
    <t>SWITCH Enterprise 8-Port Ethernet</t>
  </si>
  <si>
    <t>Compact managed Ethernet switch with 8 copper ports and uplink interfaces designed for small office networks. Provides reliable wired connectivity and basic network management features for branch environments.</t>
  </si>
  <si>
    <t>Security appliance providing advanced threat protection including intrusion prevention, application visibility, and secure VPN connectivity. Designed to protect enterprise branch networks from cyber threats.</t>
  </si>
  <si>
    <t>Enterprise security appliance delivering advanced firewall protection, deep packet inspection, and secure remote access capabilities. Designed for branch and mid-size enterprise deployments requiring strong perimeter security.</t>
  </si>
  <si>
    <t>SWITCH Industrial 24-Port Ethernet</t>
  </si>
  <si>
    <t>Industrial Ethernet switch with high-density copper ports and high-speed uplinks designed for large industrial networks such as utilities, transportation systems, and manufacturing plants.</t>
  </si>
  <si>
    <t>SWITCH Data Center 400G Spine</t>
  </si>
  <si>
    <t>High-performance data center switch designed for spine layer connectivity with ultra-high-speed interfaces. Supports large-scale cloud workloads and high-bandwidth east-west traffic in hyperscale environments.</t>
  </si>
  <si>
    <t>Integrated services branch router with multiple PoE ports to power local devices while providing WAN connectivity, routing, VPN services, and security capabilities for small offices.</t>
  </si>
  <si>
    <t>ROUTER Branch LTE PoE Wireless</t>
  </si>
  <si>
    <t>Integrated branch router combining WAN routing, LTE cellular connectivity, PoE ports, and integrated wireless capabilities. Designed for distributed branches or remote sites requiring reliable connectivity and backup internet access.</t>
  </si>
  <si>
    <t>Sustaining-Growth</t>
  </si>
  <si>
    <t>IP PHONE Enterprise Desk_1</t>
  </si>
  <si>
    <t>IP PHONE Enterprise Desk_2</t>
  </si>
  <si>
    <t>IP PHONE Enterprise Desk_3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</si>
</sst>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0.0%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iscoSansTT ExtraLight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b/>
      <sz val="8"/>
      <color rgb="FF000000"/>
      <name val="Verdana"/>
      <family val="2"/>
    </font>
    <font>
      <b/>
      <sz val="8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CiscoSansTT ExtraLight"/>
      <family val="2"/>
    </font>
    <font>
      <sz val="10"/>
      <color theme="1"/>
      <name val="CiscoSansTT ExtraLight"/>
      <family val="2"/>
    </font>
    <font>
      <b/>
      <sz val="11"/>
      <color theme="1"/>
      <name val="CiscoSansTT ExtraLight"/>
      <family val="2"/>
    </font>
    <font>
      <b/>
      <sz val="9"/>
      <color theme="0"/>
      <name val="CiscoSansTT ExtraLight"/>
      <family val="2"/>
    </font>
    <font>
      <b/>
      <sz val="9"/>
      <name val="CiscoSansTT ExtraLight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0"/>
      <name val="Verdana"/>
      <family val="2"/>
    </font>
    <font>
      <sz val="12"/>
      <color rgb="FF002060"/>
      <name val="Verdana"/>
      <family val="2"/>
    </font>
    <font>
      <b/>
      <sz val="9"/>
      <color theme="0"/>
      <name val="Verdana"/>
      <family val="2"/>
    </font>
    <font>
      <sz val="12"/>
      <color theme="0"/>
      <name val="Verdana"/>
      <family val="2"/>
    </font>
    <font>
      <sz val="9"/>
      <color rgb="FF002060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  <font>
      <b/>
      <sz val="9"/>
      <color theme="1"/>
      <name val="CiscoSansTT ExtraLight"/>
      <family val="2"/>
    </font>
    <font>
      <sz val="9"/>
      <color rgb="FF000000"/>
      <name val="CiscoSansTT ExtraLight"/>
      <family val="2"/>
    </font>
    <font>
      <i/>
      <sz val="10"/>
      <color theme="1"/>
      <name val="CiscoSansTT ExtraLight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C0E6F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0E6F5"/>
      </patternFill>
    </fill>
    <fill>
      <patternFill patternType="solid">
        <fgColor theme="8" tint="0.79998168889431442"/>
        <bgColor rgb="FFC0E6F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left" vertical="top"/>
    </xf>
    <xf numFmtId="0" fontId="4" fillId="0" borderId="1" xfId="0" applyFont="1" applyBorder="1"/>
    <xf numFmtId="3" fontId="5" fillId="0" borderId="1" xfId="0" applyNumberFormat="1" applyFont="1" applyBorder="1" applyAlignment="1">
      <alignment vertical="center"/>
    </xf>
    <xf numFmtId="0" fontId="8" fillId="12" borderId="1" xfId="0" applyFont="1" applyFill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8" fillId="6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11" borderId="1" xfId="0" applyFont="1" applyFill="1" applyBorder="1"/>
    <xf numFmtId="1" fontId="4" fillId="0" borderId="1" xfId="0" applyNumberFormat="1" applyFont="1" applyBorder="1"/>
    <xf numFmtId="0" fontId="1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4" fillId="0" borderId="0" xfId="0" applyFont="1"/>
    <xf numFmtId="1" fontId="14" fillId="0" borderId="0" xfId="0" applyNumberFormat="1" applyFont="1"/>
    <xf numFmtId="0" fontId="13" fillId="0" borderId="0" xfId="0" applyFont="1"/>
    <xf numFmtId="1" fontId="15" fillId="2" borderId="1" xfId="2" applyNumberFormat="1" applyFont="1" applyFill="1" applyBorder="1" applyAlignment="1">
      <alignment horizontal="left" wrapText="1"/>
    </xf>
    <xf numFmtId="1" fontId="16" fillId="3" borderId="1" xfId="2" applyNumberFormat="1" applyFont="1" applyFill="1" applyBorder="1" applyAlignment="1">
      <alignment horizontal="left" wrapText="1"/>
    </xf>
    <xf numFmtId="0" fontId="15" fillId="2" borderId="1" xfId="2" applyFont="1" applyFill="1" applyBorder="1" applyAlignment="1">
      <alignment horizontal="left" wrapText="1"/>
    </xf>
    <xf numFmtId="1" fontId="13" fillId="0" borderId="1" xfId="0" applyNumberFormat="1" applyFont="1" applyBorder="1"/>
    <xf numFmtId="10" fontId="13" fillId="0" borderId="1" xfId="4" applyNumberFormat="1" applyFont="1" applyBorder="1"/>
    <xf numFmtId="9" fontId="13" fillId="0" borderId="1" xfId="4" applyFont="1" applyBorder="1"/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20" fillId="15" borderId="2" xfId="0" applyNumberFormat="1" applyFont="1" applyFill="1" applyBorder="1" applyAlignment="1">
      <alignment vertical="center" wrapText="1"/>
    </xf>
    <xf numFmtId="1" fontId="20" fillId="16" borderId="2" xfId="0" applyNumberFormat="1" applyFont="1" applyFill="1" applyBorder="1" applyAlignment="1">
      <alignment vertical="center" wrapText="1"/>
    </xf>
    <xf numFmtId="1" fontId="20" fillId="17" borderId="2" xfId="0" applyNumberFormat="1" applyFont="1" applyFill="1" applyBorder="1" applyAlignment="1">
      <alignment vertical="center" wrapText="1"/>
    </xf>
    <xf numFmtId="0" fontId="22" fillId="14" borderId="2" xfId="2" applyFont="1" applyFill="1" applyBorder="1" applyAlignment="1">
      <alignment vertical="center" wrapText="1"/>
    </xf>
    <xf numFmtId="0" fontId="24" fillId="19" borderId="1" xfId="0" applyFont="1" applyFill="1" applyBorder="1"/>
    <xf numFmtId="0" fontId="24" fillId="19" borderId="1" xfId="0" applyFont="1" applyFill="1" applyBorder="1" applyAlignment="1">
      <alignment vertical="center"/>
    </xf>
    <xf numFmtId="0" fontId="6" fillId="18" borderId="3" xfId="0" applyFont="1" applyFill="1" applyBorder="1" applyAlignment="1">
      <alignment horizontal="center" vertical="center" wrapText="1"/>
    </xf>
    <xf numFmtId="0" fontId="17" fillId="0" borderId="1" xfId="0" applyFont="1" applyBorder="1"/>
    <xf numFmtId="0" fontId="24" fillId="21" borderId="1" xfId="0" applyFont="1" applyFill="1" applyBorder="1" applyAlignment="1">
      <alignment horizontal="center" vertical="center"/>
    </xf>
    <xf numFmtId="0" fontId="27" fillId="0" borderId="18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3" fillId="0" borderId="0" xfId="0" applyFont="1"/>
    <xf numFmtId="0" fontId="14" fillId="4" borderId="0" xfId="0" applyFont="1" applyFill="1" applyAlignment="1">
      <alignment vertical="center"/>
    </xf>
    <xf numFmtId="0" fontId="3" fillId="4" borderId="0" xfId="0" applyFont="1" applyFill="1"/>
    <xf numFmtId="0" fontId="14" fillId="8" borderId="0" xfId="0" applyFont="1" applyFill="1" applyAlignment="1">
      <alignment vertical="center"/>
    </xf>
    <xf numFmtId="0" fontId="3" fillId="8" borderId="0" xfId="0" applyFont="1" applyFill="1"/>
    <xf numFmtId="0" fontId="12" fillId="0" borderId="0" xfId="0" applyFont="1"/>
    <xf numFmtId="0" fontId="28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5" fontId="4" fillId="0" borderId="1" xfId="4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1" fontId="18" fillId="4" borderId="3" xfId="1" applyNumberFormat="1" applyFont="1" applyFill="1" applyBorder="1" applyAlignment="1">
      <alignment horizontal="center" vertical="center" wrapText="1"/>
    </xf>
    <xf numFmtId="1" fontId="18" fillId="4" borderId="13" xfId="1" applyNumberFormat="1" applyFont="1" applyFill="1" applyBorder="1" applyAlignment="1">
      <alignment horizontal="center" vertical="center" wrapText="1"/>
    </xf>
    <xf numFmtId="1" fontId="18" fillId="4" borderId="14" xfId="1" applyNumberFormat="1" applyFont="1" applyFill="1" applyBorder="1" applyAlignment="1">
      <alignment horizontal="center" vertical="center" wrapText="1"/>
    </xf>
    <xf numFmtId="164" fontId="18" fillId="4" borderId="3" xfId="1" applyFont="1" applyFill="1" applyBorder="1" applyAlignment="1">
      <alignment horizontal="center" vertical="center" wrapText="1"/>
    </xf>
    <xf numFmtId="164" fontId="18" fillId="4" borderId="13" xfId="1" applyFont="1" applyFill="1" applyBorder="1" applyAlignment="1">
      <alignment horizontal="center" vertical="center" wrapText="1"/>
    </xf>
    <xf numFmtId="164" fontId="18" fillId="4" borderId="14" xfId="1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21" fillId="18" borderId="7" xfId="0" applyFont="1" applyFill="1" applyBorder="1" applyAlignment="1">
      <alignment horizontal="center" vertical="center" wrapText="1"/>
    </xf>
    <xf numFmtId="0" fontId="21" fillId="18" borderId="8" xfId="0" applyFont="1" applyFill="1" applyBorder="1" applyAlignment="1">
      <alignment horizontal="center" vertical="center" wrapText="1"/>
    </xf>
    <xf numFmtId="0" fontId="21" fillId="18" borderId="9" xfId="0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center"/>
    </xf>
    <xf numFmtId="1" fontId="26" fillId="20" borderId="3" xfId="1" applyNumberFormat="1" applyFont="1" applyFill="1" applyBorder="1" applyAlignment="1">
      <alignment horizontal="center" vertical="center" wrapText="1"/>
    </xf>
    <xf numFmtId="1" fontId="26" fillId="20" borderId="13" xfId="1" applyNumberFormat="1" applyFont="1" applyFill="1" applyBorder="1" applyAlignment="1">
      <alignment horizontal="center" vertical="center" wrapText="1"/>
    </xf>
    <xf numFmtId="1" fontId="26" fillId="20" borderId="14" xfId="1" applyNumberFormat="1" applyFont="1" applyFill="1" applyBorder="1" applyAlignment="1">
      <alignment horizontal="center" vertical="center" wrapText="1"/>
    </xf>
    <xf numFmtId="164" fontId="26" fillId="20" borderId="15" xfId="1" applyFont="1" applyFill="1" applyBorder="1" applyAlignment="1">
      <alignment horizontal="center" vertical="center" wrapText="1"/>
    </xf>
    <xf numFmtId="164" fontId="26" fillId="20" borderId="16" xfId="1" applyFont="1" applyFill="1" applyBorder="1" applyAlignment="1">
      <alignment horizontal="center" vertical="center" wrapText="1"/>
    </xf>
    <xf numFmtId="164" fontId="26" fillId="20" borderId="17" xfId="1" applyFont="1" applyFill="1" applyBorder="1" applyAlignment="1">
      <alignment horizontal="center" vertical="center" wrapText="1"/>
    </xf>
    <xf numFmtId="9" fontId="23" fillId="15" borderId="1" xfId="4" applyFont="1" applyFill="1" applyBorder="1" applyAlignment="1">
      <alignment horizontal="center"/>
    </xf>
    <xf numFmtId="9" fontId="25" fillId="16" borderId="1" xfId="4" applyFont="1" applyFill="1" applyBorder="1" applyAlignment="1">
      <alignment horizontal="center"/>
    </xf>
    <xf numFmtId="9" fontId="25" fillId="17" borderId="1" xfId="4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 wrapText="1"/>
    </xf>
    <xf numFmtId="0" fontId="11" fillId="13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164" fontId="7" fillId="4" borderId="1" xfId="1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5">
    <cellStyle name="Currency" xfId="1" builtinId="4"/>
    <cellStyle name="Normal" xfId="0" builtinId="0"/>
    <cellStyle name="Normal 2" xfId="3" xr:uid="{B15400FA-7CC6-494C-A2E3-A87F2A3C2883}"/>
    <cellStyle name="Normal 4" xfId="2" xr:uid="{B8FB504B-374F-41CE-AB50-D267402F637F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D93B-D6D1-40EB-8DA9-CDA29DFDF152}">
  <sheetPr>
    <tabColor rgb="FF7030A0"/>
  </sheetPr>
  <dimension ref="A1:H48"/>
  <sheetViews>
    <sheetView tabSelected="1" workbookViewId="0">
      <selection activeCell="C1" sqref="C1"/>
    </sheetView>
  </sheetViews>
  <sheetFormatPr defaultColWidth="9.19921875" defaultRowHeight="15.4" x14ac:dyDescent="0.6"/>
  <cols>
    <col min="1" max="1" width="32.59765625" style="41" customWidth="1"/>
    <col min="2" max="2" width="122.3984375" style="41" customWidth="1"/>
    <col min="3" max="15" width="9.6640625" style="41" customWidth="1"/>
    <col min="16" max="16384" width="9.19921875" style="41"/>
  </cols>
  <sheetData>
    <row r="1" spans="1:8" x14ac:dyDescent="0.6">
      <c r="A1" s="12" t="s">
        <v>53</v>
      </c>
      <c r="B1" s="13" t="s">
        <v>54</v>
      </c>
      <c r="D1" s="16" t="s">
        <v>75</v>
      </c>
      <c r="E1" s="17"/>
      <c r="F1" s="16"/>
      <c r="G1" s="18"/>
      <c r="H1" s="18"/>
    </row>
    <row r="2" spans="1:8" ht="26.25" x14ac:dyDescent="0.6">
      <c r="A2" s="12" t="s">
        <v>55</v>
      </c>
      <c r="B2" s="14" t="s">
        <v>56</v>
      </c>
      <c r="D2" s="19" t="s">
        <v>76</v>
      </c>
      <c r="E2" s="20" t="s">
        <v>77</v>
      </c>
      <c r="F2" s="19" t="s">
        <v>78</v>
      </c>
      <c r="G2" s="21" t="s">
        <v>70</v>
      </c>
      <c r="H2" s="21" t="s">
        <v>79</v>
      </c>
    </row>
    <row r="3" spans="1:8" x14ac:dyDescent="0.6">
      <c r="A3" s="12" t="s">
        <v>57</v>
      </c>
      <c r="B3" s="13" t="s">
        <v>58</v>
      </c>
      <c r="D3" s="13" t="s">
        <v>80</v>
      </c>
      <c r="E3" s="22">
        <v>1800</v>
      </c>
      <c r="F3" s="22">
        <v>450</v>
      </c>
      <c r="G3" s="23">
        <f>IFERROR(MAX(0,1-ABS(H3)),0)</f>
        <v>0</v>
      </c>
      <c r="H3" s="24">
        <f>(E3-F3)/F3</f>
        <v>3</v>
      </c>
    </row>
    <row r="4" spans="1:8" x14ac:dyDescent="0.6">
      <c r="A4" s="12" t="s">
        <v>59</v>
      </c>
      <c r="B4" s="13" t="s">
        <v>60</v>
      </c>
      <c r="D4" s="13" t="s">
        <v>81</v>
      </c>
      <c r="E4" s="22">
        <v>1800</v>
      </c>
      <c r="F4" s="22">
        <v>20000</v>
      </c>
      <c r="G4" s="23">
        <f t="shared" ref="G4:G8" si="0">IFERROR(MAX(0,1-ABS(H4)),0)</f>
        <v>8.9999999999999969E-2</v>
      </c>
      <c r="H4" s="24">
        <f t="shared" ref="H4:H8" si="1">(E4-F4)/F4</f>
        <v>-0.91</v>
      </c>
    </row>
    <row r="5" spans="1:8" x14ac:dyDescent="0.6">
      <c r="A5" s="12" t="s">
        <v>61</v>
      </c>
      <c r="B5" s="13" t="s">
        <v>62</v>
      </c>
      <c r="D5" s="13" t="s">
        <v>82</v>
      </c>
      <c r="E5" s="22">
        <v>80300</v>
      </c>
      <c r="F5" s="22">
        <v>87298</v>
      </c>
      <c r="G5" s="23">
        <f t="shared" si="0"/>
        <v>0.91983779697129375</v>
      </c>
      <c r="H5" s="24">
        <f t="shared" si="1"/>
        <v>-8.0162203028706275E-2</v>
      </c>
    </row>
    <row r="6" spans="1:8" x14ac:dyDescent="0.6">
      <c r="A6" s="12" t="s">
        <v>63</v>
      </c>
      <c r="B6" s="13" t="s">
        <v>64</v>
      </c>
      <c r="D6" s="13" t="s">
        <v>83</v>
      </c>
      <c r="E6" s="22">
        <v>12800</v>
      </c>
      <c r="F6" s="22">
        <v>12207</v>
      </c>
      <c r="G6" s="23">
        <f t="shared" si="0"/>
        <v>0.95142131563856802</v>
      </c>
      <c r="H6" s="24">
        <f t="shared" si="1"/>
        <v>4.8578684361431965E-2</v>
      </c>
    </row>
    <row r="7" spans="1:8" x14ac:dyDescent="0.6">
      <c r="A7" s="12" t="s">
        <v>65</v>
      </c>
      <c r="B7" s="13" t="s">
        <v>66</v>
      </c>
      <c r="D7" s="13" t="s">
        <v>84</v>
      </c>
      <c r="E7" s="22">
        <v>68000</v>
      </c>
      <c r="F7" s="22">
        <v>51855</v>
      </c>
      <c r="G7" s="23">
        <f t="shared" si="0"/>
        <v>0.68865104618648154</v>
      </c>
      <c r="H7" s="24">
        <f t="shared" si="1"/>
        <v>0.31134895381351846</v>
      </c>
    </row>
    <row r="8" spans="1:8" x14ac:dyDescent="0.6">
      <c r="A8" s="15" t="s">
        <v>67</v>
      </c>
      <c r="B8" s="13" t="s">
        <v>151</v>
      </c>
      <c r="D8" s="13" t="s">
        <v>85</v>
      </c>
      <c r="E8" s="22">
        <v>7450</v>
      </c>
      <c r="F8" s="22">
        <v>10022</v>
      </c>
      <c r="G8" s="23">
        <f t="shared" si="0"/>
        <v>0.7433645978846537</v>
      </c>
      <c r="H8" s="24">
        <f t="shared" si="1"/>
        <v>-0.25663540211534625</v>
      </c>
    </row>
    <row r="9" spans="1:8" ht="16.350000000000001" customHeight="1" x14ac:dyDescent="0.6">
      <c r="A9" s="15" t="s">
        <v>148</v>
      </c>
      <c r="B9" s="13" t="s">
        <v>150</v>
      </c>
    </row>
    <row r="10" spans="1:8" ht="16.350000000000001" customHeight="1" x14ac:dyDescent="0.6">
      <c r="A10" s="40" t="s">
        <v>147</v>
      </c>
      <c r="B10" s="39" t="s">
        <v>146</v>
      </c>
    </row>
    <row r="11" spans="1:8" ht="49.8" customHeight="1" x14ac:dyDescent="0.6">
      <c r="A11" s="12" t="s">
        <v>68</v>
      </c>
      <c r="B11" s="14" t="s">
        <v>69</v>
      </c>
    </row>
    <row r="12" spans="1:8" ht="65.650000000000006" customHeight="1" x14ac:dyDescent="0.6">
      <c r="A12" s="12" t="s">
        <v>70</v>
      </c>
      <c r="B12" s="14" t="s">
        <v>149</v>
      </c>
    </row>
    <row r="13" spans="1:8" ht="62.2" customHeight="1" x14ac:dyDescent="0.6">
      <c r="A13" s="25" t="s">
        <v>71</v>
      </c>
      <c r="B13" s="26" t="s">
        <v>72</v>
      </c>
    </row>
    <row r="14" spans="1:8" ht="29.65" customHeight="1" x14ac:dyDescent="0.6">
      <c r="A14" s="25" t="s">
        <v>73</v>
      </c>
      <c r="B14" s="27" t="s">
        <v>74</v>
      </c>
    </row>
    <row r="17" spans="1:2" x14ac:dyDescent="0.6">
      <c r="A17" s="42" t="s">
        <v>106</v>
      </c>
      <c r="B17" s="43"/>
    </row>
    <row r="18" spans="1:2" x14ac:dyDescent="0.6">
      <c r="A18" s="46" t="s">
        <v>107</v>
      </c>
      <c r="B18" s="18"/>
    </row>
    <row r="19" spans="1:2" x14ac:dyDescent="0.6">
      <c r="A19" s="47" t="s">
        <v>108</v>
      </c>
      <c r="B19" s="18"/>
    </row>
    <row r="20" spans="1:2" x14ac:dyDescent="0.6">
      <c r="A20" s="18"/>
      <c r="B20" s="18"/>
    </row>
    <row r="21" spans="1:2" x14ac:dyDescent="0.6">
      <c r="A21" s="48" t="s">
        <v>109</v>
      </c>
      <c r="B21" s="48" t="s">
        <v>0</v>
      </c>
    </row>
    <row r="22" spans="1:2" x14ac:dyDescent="0.6">
      <c r="A22" s="49" t="s">
        <v>110</v>
      </c>
      <c r="B22" s="49" t="s">
        <v>111</v>
      </c>
    </row>
    <row r="23" spans="1:2" x14ac:dyDescent="0.6">
      <c r="A23" s="49" t="s">
        <v>112</v>
      </c>
      <c r="B23" s="49" t="s">
        <v>113</v>
      </c>
    </row>
    <row r="24" spans="1:2" x14ac:dyDescent="0.6">
      <c r="A24" s="49" t="s">
        <v>114</v>
      </c>
      <c r="B24" s="49" t="s">
        <v>115</v>
      </c>
    </row>
    <row r="25" spans="1:2" x14ac:dyDescent="0.6">
      <c r="A25" s="49" t="s">
        <v>116</v>
      </c>
      <c r="B25" s="49" t="s">
        <v>117</v>
      </c>
    </row>
    <row r="26" spans="1:2" x14ac:dyDescent="0.6">
      <c r="A26" s="49" t="s">
        <v>46</v>
      </c>
      <c r="B26" s="49" t="s">
        <v>118</v>
      </c>
    </row>
    <row r="27" spans="1:2" x14ac:dyDescent="0.6">
      <c r="A27" s="49" t="s">
        <v>119</v>
      </c>
      <c r="B27" s="49" t="s">
        <v>120</v>
      </c>
    </row>
    <row r="29" spans="1:2" x14ac:dyDescent="0.6">
      <c r="A29" s="44" t="s">
        <v>121</v>
      </c>
      <c r="B29" s="45"/>
    </row>
    <row r="30" spans="1:2" x14ac:dyDescent="0.6">
      <c r="A30" s="46" t="s">
        <v>107</v>
      </c>
      <c r="B30" s="18"/>
    </row>
    <row r="31" spans="1:2" ht="17.2" customHeight="1" x14ac:dyDescent="0.6">
      <c r="A31" s="47" t="s">
        <v>122</v>
      </c>
      <c r="B31" s="18"/>
    </row>
    <row r="32" spans="1:2" x14ac:dyDescent="0.6">
      <c r="A32" s="18"/>
      <c r="B32" s="18"/>
    </row>
    <row r="33" spans="1:2" x14ac:dyDescent="0.6">
      <c r="A33" s="48" t="s">
        <v>123</v>
      </c>
      <c r="B33" s="48" t="s">
        <v>0</v>
      </c>
    </row>
    <row r="34" spans="1:2" x14ac:dyDescent="0.6">
      <c r="A34" s="49" t="s">
        <v>124</v>
      </c>
      <c r="B34" s="49" t="s">
        <v>125</v>
      </c>
    </row>
    <row r="35" spans="1:2" x14ac:dyDescent="0.6">
      <c r="A35" s="49" t="s">
        <v>126</v>
      </c>
      <c r="B35" s="49" t="s">
        <v>127</v>
      </c>
    </row>
    <row r="36" spans="1:2" x14ac:dyDescent="0.6">
      <c r="A36" s="49" t="s">
        <v>38</v>
      </c>
      <c r="B36" s="49" t="s">
        <v>128</v>
      </c>
    </row>
    <row r="37" spans="1:2" x14ac:dyDescent="0.6">
      <c r="A37" s="49" t="s">
        <v>39</v>
      </c>
      <c r="B37" s="49" t="s">
        <v>129</v>
      </c>
    </row>
    <row r="38" spans="1:2" x14ac:dyDescent="0.6">
      <c r="A38" s="49" t="s">
        <v>40</v>
      </c>
      <c r="B38" s="49" t="s">
        <v>130</v>
      </c>
    </row>
    <row r="39" spans="1:2" x14ac:dyDescent="0.6">
      <c r="A39" s="49" t="s">
        <v>131</v>
      </c>
      <c r="B39" s="49" t="s">
        <v>132</v>
      </c>
    </row>
    <row r="40" spans="1:2" x14ac:dyDescent="0.6">
      <c r="A40" s="49" t="s">
        <v>42</v>
      </c>
      <c r="B40" s="49" t="s">
        <v>133</v>
      </c>
    </row>
    <row r="41" spans="1:2" x14ac:dyDescent="0.6">
      <c r="A41" s="49" t="s">
        <v>134</v>
      </c>
      <c r="B41" s="49" t="s">
        <v>135</v>
      </c>
    </row>
    <row r="42" spans="1:2" x14ac:dyDescent="0.6">
      <c r="A42" s="49" t="s">
        <v>44</v>
      </c>
      <c r="B42" s="49" t="s">
        <v>136</v>
      </c>
    </row>
    <row r="43" spans="1:2" x14ac:dyDescent="0.6">
      <c r="A43" s="49" t="s">
        <v>45</v>
      </c>
      <c r="B43" s="49" t="s">
        <v>137</v>
      </c>
    </row>
    <row r="44" spans="1:2" x14ac:dyDescent="0.6">
      <c r="A44" s="49" t="s">
        <v>46</v>
      </c>
      <c r="B44" s="49" t="s">
        <v>138</v>
      </c>
    </row>
    <row r="45" spans="1:2" x14ac:dyDescent="0.6">
      <c r="A45" s="49" t="s">
        <v>47</v>
      </c>
      <c r="B45" s="49" t="s">
        <v>139</v>
      </c>
    </row>
    <row r="46" spans="1:2" x14ac:dyDescent="0.6">
      <c r="A46" s="49" t="s">
        <v>48</v>
      </c>
      <c r="B46" s="49" t="s">
        <v>140</v>
      </c>
    </row>
    <row r="47" spans="1:2" x14ac:dyDescent="0.6">
      <c r="A47" s="49" t="s">
        <v>49</v>
      </c>
      <c r="B47" s="49" t="s">
        <v>141</v>
      </c>
    </row>
    <row r="48" spans="1:2" x14ac:dyDescent="0.6">
      <c r="A48" s="49" t="s">
        <v>142</v>
      </c>
      <c r="B48" s="49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8C2C-F0A9-4DFB-9CF8-5F645C7BBA7D}">
  <sheetPr>
    <tabColor rgb="FFFFC000"/>
  </sheetPr>
  <dimension ref="A1:B21"/>
  <sheetViews>
    <sheetView workbookViewId="0"/>
  </sheetViews>
  <sheetFormatPr defaultRowHeight="14.25" x14ac:dyDescent="0.45"/>
  <cols>
    <col min="1" max="1" width="37" style="7" customWidth="1"/>
    <col min="2" max="2" width="83" customWidth="1"/>
  </cols>
  <sheetData>
    <row r="1" spans="1:2" ht="27" customHeight="1" x14ac:dyDescent="0.45">
      <c r="A1" s="50" t="s">
        <v>157</v>
      </c>
      <c r="B1" s="50" t="s">
        <v>0</v>
      </c>
    </row>
    <row r="2" spans="1:2" ht="43.05" customHeight="1" x14ac:dyDescent="0.45">
      <c r="A2" s="51" t="s">
        <v>6</v>
      </c>
      <c r="B2" s="51" t="s">
        <v>158</v>
      </c>
    </row>
    <row r="3" spans="1:2" ht="43.05" customHeight="1" x14ac:dyDescent="0.45">
      <c r="A3" s="51" t="s">
        <v>159</v>
      </c>
      <c r="B3" s="51" t="s">
        <v>160</v>
      </c>
    </row>
    <row r="4" spans="1:2" ht="43.05" customHeight="1" x14ac:dyDescent="0.45">
      <c r="A4" s="51" t="s">
        <v>161</v>
      </c>
      <c r="B4" s="51" t="s">
        <v>162</v>
      </c>
    </row>
    <row r="5" spans="1:2" ht="43.05" customHeight="1" x14ac:dyDescent="0.45">
      <c r="A5" s="51" t="s">
        <v>190</v>
      </c>
      <c r="B5" s="51" t="s">
        <v>163</v>
      </c>
    </row>
    <row r="6" spans="1:2" ht="43.05" customHeight="1" x14ac:dyDescent="0.45">
      <c r="A6" s="51" t="s">
        <v>8</v>
      </c>
      <c r="B6" s="51" t="s">
        <v>164</v>
      </c>
    </row>
    <row r="7" spans="1:2" ht="43.05" customHeight="1" x14ac:dyDescent="0.45">
      <c r="A7" s="51" t="s">
        <v>9</v>
      </c>
      <c r="B7" s="51" t="s">
        <v>165</v>
      </c>
    </row>
    <row r="8" spans="1:2" ht="43.05" customHeight="1" x14ac:dyDescent="0.45">
      <c r="A8" s="51" t="s">
        <v>166</v>
      </c>
      <c r="B8" s="51" t="s">
        <v>167</v>
      </c>
    </row>
    <row r="9" spans="1:2" ht="43.05" customHeight="1" x14ac:dyDescent="0.45">
      <c r="A9" s="51" t="s">
        <v>168</v>
      </c>
      <c r="B9" s="51" t="s">
        <v>169</v>
      </c>
    </row>
    <row r="10" spans="1:2" ht="43.05" customHeight="1" x14ac:dyDescent="0.45">
      <c r="A10" s="51" t="s">
        <v>191</v>
      </c>
      <c r="B10" s="51" t="s">
        <v>170</v>
      </c>
    </row>
    <row r="11" spans="1:2" ht="43.05" customHeight="1" x14ac:dyDescent="0.45">
      <c r="A11" s="51" t="s">
        <v>192</v>
      </c>
      <c r="B11" s="51" t="s">
        <v>171</v>
      </c>
    </row>
    <row r="12" spans="1:2" ht="43.05" customHeight="1" x14ac:dyDescent="0.45">
      <c r="A12" s="51" t="s">
        <v>172</v>
      </c>
      <c r="B12" s="51" t="s">
        <v>173</v>
      </c>
    </row>
    <row r="13" spans="1:2" ht="43.05" customHeight="1" x14ac:dyDescent="0.45">
      <c r="A13" s="51" t="s">
        <v>174</v>
      </c>
      <c r="B13" s="51" t="s">
        <v>175</v>
      </c>
    </row>
    <row r="14" spans="1:2" ht="43.05" customHeight="1" x14ac:dyDescent="0.45">
      <c r="A14" s="51" t="s">
        <v>176</v>
      </c>
      <c r="B14" s="51" t="s">
        <v>177</v>
      </c>
    </row>
    <row r="15" spans="1:2" ht="43.05" customHeight="1" x14ac:dyDescent="0.45">
      <c r="A15" s="51" t="s">
        <v>178</v>
      </c>
      <c r="B15" s="51" t="s">
        <v>179</v>
      </c>
    </row>
    <row r="16" spans="1:2" ht="43.05" customHeight="1" x14ac:dyDescent="0.45">
      <c r="A16" s="51" t="s">
        <v>51</v>
      </c>
      <c r="B16" s="51" t="s">
        <v>180</v>
      </c>
    </row>
    <row r="17" spans="1:2" ht="43.05" customHeight="1" x14ac:dyDescent="0.45">
      <c r="A17" s="51" t="s">
        <v>52</v>
      </c>
      <c r="B17" s="51" t="s">
        <v>181</v>
      </c>
    </row>
    <row r="18" spans="1:2" ht="43.05" customHeight="1" x14ac:dyDescent="0.45">
      <c r="A18" s="51" t="s">
        <v>182</v>
      </c>
      <c r="B18" s="51" t="s">
        <v>183</v>
      </c>
    </row>
    <row r="19" spans="1:2" ht="43.05" customHeight="1" x14ac:dyDescent="0.45">
      <c r="A19" s="51" t="s">
        <v>184</v>
      </c>
      <c r="B19" s="51" t="s">
        <v>185</v>
      </c>
    </row>
    <row r="20" spans="1:2" ht="43.05" customHeight="1" x14ac:dyDescent="0.45">
      <c r="A20" s="51" t="s">
        <v>7</v>
      </c>
      <c r="B20" s="51" t="s">
        <v>186</v>
      </c>
    </row>
    <row r="21" spans="1:2" ht="43.05" customHeight="1" x14ac:dyDescent="0.45">
      <c r="A21" s="51" t="s">
        <v>187</v>
      </c>
      <c r="B21" s="51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21C0-FDE6-451D-A9E5-675B004CE32A}">
  <sheetPr>
    <tabColor rgb="FFFFFF00"/>
  </sheetPr>
  <dimension ref="A1:V48"/>
  <sheetViews>
    <sheetView topLeftCell="B2" workbookViewId="0">
      <selection sqref="A1:A3"/>
    </sheetView>
  </sheetViews>
  <sheetFormatPr defaultRowHeight="14.25" x14ac:dyDescent="0.45"/>
  <cols>
    <col min="1" max="1" width="7.9296875" customWidth="1"/>
    <col min="2" max="2" width="46.53125" customWidth="1"/>
    <col min="3" max="3" width="14.6640625" customWidth="1"/>
    <col min="4" max="15" width="8.6640625" customWidth="1"/>
    <col min="16" max="16" width="10.53125" customWidth="1"/>
    <col min="17" max="17" width="11.59765625" customWidth="1"/>
    <col min="18" max="18" width="13.6640625" customWidth="1"/>
    <col min="19" max="19" width="11.19921875" customWidth="1"/>
  </cols>
  <sheetData>
    <row r="1" spans="1:19" ht="15" customHeight="1" x14ac:dyDescent="0.45">
      <c r="A1" s="55" t="s">
        <v>87</v>
      </c>
      <c r="B1" s="58" t="s">
        <v>88</v>
      </c>
      <c r="C1" s="58" t="s">
        <v>89</v>
      </c>
      <c r="D1" s="61" t="s">
        <v>86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3"/>
      <c r="P1" s="67" t="s">
        <v>103</v>
      </c>
      <c r="Q1" s="68"/>
      <c r="R1" s="68"/>
      <c r="S1" s="69"/>
    </row>
    <row r="2" spans="1:19" ht="83.65" customHeight="1" x14ac:dyDescent="0.45">
      <c r="A2" s="56"/>
      <c r="B2" s="59"/>
      <c r="C2" s="59"/>
      <c r="D2" s="64"/>
      <c r="E2" s="65"/>
      <c r="F2" s="65"/>
      <c r="G2" s="65"/>
      <c r="H2" s="65"/>
      <c r="I2" s="65"/>
      <c r="J2" s="65"/>
      <c r="K2" s="65"/>
      <c r="L2" s="65"/>
      <c r="M2" s="65"/>
      <c r="N2" s="65"/>
      <c r="O2" s="66"/>
      <c r="P2" s="33" t="s">
        <v>144</v>
      </c>
      <c r="Q2" s="30" t="s">
        <v>154</v>
      </c>
      <c r="R2" s="31" t="s">
        <v>152</v>
      </c>
      <c r="S2" s="32" t="s">
        <v>153</v>
      </c>
    </row>
    <row r="3" spans="1:19" ht="15.5" customHeight="1" x14ac:dyDescent="0.45">
      <c r="A3" s="57"/>
      <c r="B3" s="60"/>
      <c r="C3" s="60"/>
      <c r="D3" s="36" t="s">
        <v>90</v>
      </c>
      <c r="E3" s="36" t="s">
        <v>91</v>
      </c>
      <c r="F3" s="36" t="s">
        <v>92</v>
      </c>
      <c r="G3" s="36" t="s">
        <v>93</v>
      </c>
      <c r="H3" s="36" t="s">
        <v>94</v>
      </c>
      <c r="I3" s="36" t="s">
        <v>95</v>
      </c>
      <c r="J3" s="36" t="s">
        <v>96</v>
      </c>
      <c r="K3" s="36" t="s">
        <v>97</v>
      </c>
      <c r="L3" s="36" t="s">
        <v>98</v>
      </c>
      <c r="M3" s="36" t="s">
        <v>99</v>
      </c>
      <c r="N3" s="36" t="s">
        <v>100</v>
      </c>
      <c r="O3" s="36" t="s">
        <v>101</v>
      </c>
      <c r="P3" s="70" t="s">
        <v>102</v>
      </c>
      <c r="Q3" s="71"/>
      <c r="R3" s="71"/>
      <c r="S3" s="72"/>
    </row>
    <row r="4" spans="1:19" ht="14.65" customHeight="1" x14ac:dyDescent="0.45">
      <c r="A4" s="6">
        <v>1</v>
      </c>
      <c r="B4" s="3" t="s">
        <v>6</v>
      </c>
      <c r="C4" s="3" t="s">
        <v>4</v>
      </c>
      <c r="D4" s="3">
        <v>2284</v>
      </c>
      <c r="E4" s="3">
        <v>7854</v>
      </c>
      <c r="F4" s="3">
        <v>7865</v>
      </c>
      <c r="G4" s="3">
        <v>4290</v>
      </c>
      <c r="H4" s="3">
        <v>6651</v>
      </c>
      <c r="I4" s="3">
        <v>6547</v>
      </c>
      <c r="J4" s="3">
        <v>5352</v>
      </c>
      <c r="K4" s="3">
        <v>3821</v>
      </c>
      <c r="L4" s="3">
        <v>8293</v>
      </c>
      <c r="M4" s="3">
        <v>3838</v>
      </c>
      <c r="N4" s="3">
        <v>3643</v>
      </c>
      <c r="O4" s="3">
        <v>3181</v>
      </c>
      <c r="P4" s="37"/>
      <c r="Q4" s="11">
        <v>3085.9999999995998</v>
      </c>
      <c r="R4" s="11">
        <v>2215.2448165003002</v>
      </c>
      <c r="S4" s="11">
        <v>3203.9999999994002</v>
      </c>
    </row>
    <row r="5" spans="1:19" ht="14.65" customHeight="1" x14ac:dyDescent="0.45">
      <c r="A5" s="6">
        <v>2</v>
      </c>
      <c r="B5" s="3" t="s">
        <v>159</v>
      </c>
      <c r="C5" s="3" t="s">
        <v>189</v>
      </c>
      <c r="D5" s="3">
        <v>0</v>
      </c>
      <c r="E5" s="3">
        <v>0</v>
      </c>
      <c r="F5" s="3">
        <v>0</v>
      </c>
      <c r="G5" s="3">
        <v>267</v>
      </c>
      <c r="H5" s="3">
        <v>227</v>
      </c>
      <c r="I5" s="3">
        <v>379</v>
      </c>
      <c r="J5" s="3">
        <v>1152</v>
      </c>
      <c r="K5" s="3">
        <v>3587</v>
      </c>
      <c r="L5" s="3">
        <v>4290</v>
      </c>
      <c r="M5" s="3">
        <v>5213</v>
      </c>
      <c r="N5" s="3">
        <v>4090</v>
      </c>
      <c r="O5" s="3">
        <v>5815</v>
      </c>
      <c r="P5" s="37"/>
      <c r="Q5" s="11">
        <v>6655.9999999999</v>
      </c>
      <c r="R5" s="11">
        <v>5863.7436790000002</v>
      </c>
      <c r="S5" s="11">
        <v>5342</v>
      </c>
    </row>
    <row r="6" spans="1:19" ht="14.65" customHeight="1" x14ac:dyDescent="0.45">
      <c r="A6" s="28">
        <v>3</v>
      </c>
      <c r="B6" s="3" t="s">
        <v>161</v>
      </c>
      <c r="C6" s="3" t="s">
        <v>189</v>
      </c>
      <c r="D6" s="3">
        <v>447</v>
      </c>
      <c r="E6" s="3">
        <v>3023</v>
      </c>
      <c r="F6" s="3">
        <v>2821</v>
      </c>
      <c r="G6" s="3">
        <v>2856</v>
      </c>
      <c r="H6" s="3">
        <v>1289</v>
      </c>
      <c r="I6" s="3">
        <v>4594</v>
      </c>
      <c r="J6" s="3">
        <v>5668</v>
      </c>
      <c r="K6" s="3">
        <v>2218</v>
      </c>
      <c r="L6" s="3">
        <v>4056</v>
      </c>
      <c r="M6" s="3">
        <v>6408</v>
      </c>
      <c r="N6" s="3">
        <v>6725</v>
      </c>
      <c r="O6" s="3">
        <v>3854</v>
      </c>
      <c r="P6" s="37"/>
      <c r="Q6" s="11">
        <v>5087.9999999996999</v>
      </c>
      <c r="R6" s="11">
        <v>7999.9999999999</v>
      </c>
      <c r="S6" s="11">
        <v>6030.9999999999</v>
      </c>
    </row>
    <row r="7" spans="1:19" ht="14.65" customHeight="1" x14ac:dyDescent="0.45">
      <c r="A7" s="28">
        <v>4</v>
      </c>
      <c r="B7" s="3" t="s">
        <v>190</v>
      </c>
      <c r="C7" s="3" t="s">
        <v>5</v>
      </c>
      <c r="D7" s="3">
        <v>22557</v>
      </c>
      <c r="E7" s="3">
        <v>23435</v>
      </c>
      <c r="F7" s="3">
        <v>13855</v>
      </c>
      <c r="G7" s="3">
        <v>21767</v>
      </c>
      <c r="H7" s="3">
        <v>14391</v>
      </c>
      <c r="I7" s="3">
        <v>19106</v>
      </c>
      <c r="J7" s="3">
        <v>21593</v>
      </c>
      <c r="K7" s="3">
        <v>26857</v>
      </c>
      <c r="L7" s="3">
        <v>19180</v>
      </c>
      <c r="M7" s="3">
        <v>22017</v>
      </c>
      <c r="N7" s="3">
        <v>23154</v>
      </c>
      <c r="O7" s="3">
        <v>11659</v>
      </c>
      <c r="P7" s="37"/>
      <c r="Q7" s="11">
        <v>9500.0000000001</v>
      </c>
      <c r="R7" s="11">
        <v>12374.9876250124</v>
      </c>
      <c r="S7" s="11">
        <v>22593</v>
      </c>
    </row>
    <row r="8" spans="1:19" ht="14.65" customHeight="1" x14ac:dyDescent="0.45">
      <c r="A8" s="28">
        <v>5</v>
      </c>
      <c r="B8" s="3" t="s">
        <v>8</v>
      </c>
      <c r="C8" s="3" t="s">
        <v>4</v>
      </c>
      <c r="D8" s="3">
        <v>828</v>
      </c>
      <c r="E8" s="3">
        <v>549</v>
      </c>
      <c r="F8" s="3">
        <v>803</v>
      </c>
      <c r="G8" s="3">
        <v>412</v>
      </c>
      <c r="H8" s="3">
        <v>449</v>
      </c>
      <c r="I8" s="3">
        <v>244</v>
      </c>
      <c r="J8" s="3">
        <v>775</v>
      </c>
      <c r="K8" s="3">
        <v>1153</v>
      </c>
      <c r="L8" s="3">
        <v>1368</v>
      </c>
      <c r="M8" s="3">
        <v>1805</v>
      </c>
      <c r="N8" s="3">
        <v>1457</v>
      </c>
      <c r="O8" s="3">
        <v>1102</v>
      </c>
      <c r="P8" s="37"/>
      <c r="Q8" s="11">
        <v>1500.0000000001</v>
      </c>
      <c r="R8" s="11">
        <v>1359.0000000002001</v>
      </c>
      <c r="S8" s="11">
        <v>1475</v>
      </c>
    </row>
    <row r="9" spans="1:19" ht="14.65" customHeight="1" x14ac:dyDescent="0.45">
      <c r="A9" s="28">
        <v>6</v>
      </c>
      <c r="B9" s="3" t="s">
        <v>9</v>
      </c>
      <c r="C9" s="3" t="s">
        <v>5</v>
      </c>
      <c r="D9" s="3">
        <v>2320</v>
      </c>
      <c r="E9" s="3">
        <v>1826</v>
      </c>
      <c r="F9" s="3">
        <v>658</v>
      </c>
      <c r="G9" s="3">
        <v>230</v>
      </c>
      <c r="H9" s="3">
        <v>1480</v>
      </c>
      <c r="I9" s="3">
        <v>337</v>
      </c>
      <c r="J9" s="3">
        <v>735</v>
      </c>
      <c r="K9" s="3">
        <v>913</v>
      </c>
      <c r="L9" s="3">
        <v>963</v>
      </c>
      <c r="M9" s="3">
        <v>648</v>
      </c>
      <c r="N9" s="3">
        <v>1482</v>
      </c>
      <c r="O9" s="3">
        <v>725</v>
      </c>
      <c r="P9" s="37"/>
      <c r="Q9" s="11">
        <v>780</v>
      </c>
      <c r="R9" s="11">
        <v>100.0000000001</v>
      </c>
      <c r="S9" s="11">
        <v>797.00000000010004</v>
      </c>
    </row>
    <row r="10" spans="1:19" ht="14.65" customHeight="1" x14ac:dyDescent="0.45">
      <c r="A10" s="28">
        <v>7</v>
      </c>
      <c r="B10" s="3" t="s">
        <v>166</v>
      </c>
      <c r="C10" s="3" t="s">
        <v>4</v>
      </c>
      <c r="D10" s="3">
        <v>441</v>
      </c>
      <c r="E10" s="3">
        <v>606</v>
      </c>
      <c r="F10" s="3">
        <v>383</v>
      </c>
      <c r="G10" s="3">
        <v>357</v>
      </c>
      <c r="H10" s="3">
        <v>552</v>
      </c>
      <c r="I10" s="3">
        <v>371</v>
      </c>
      <c r="J10" s="3">
        <v>532</v>
      </c>
      <c r="K10" s="3">
        <v>506</v>
      </c>
      <c r="L10" s="3">
        <v>483</v>
      </c>
      <c r="M10" s="3">
        <v>681</v>
      </c>
      <c r="N10" s="3">
        <v>783</v>
      </c>
      <c r="O10" s="3">
        <v>802</v>
      </c>
      <c r="P10" s="37"/>
      <c r="Q10" s="11">
        <v>558.99999999989996</v>
      </c>
      <c r="R10" s="11">
        <v>638.07476269999995</v>
      </c>
      <c r="S10" s="11">
        <v>804.99999999989996</v>
      </c>
    </row>
    <row r="11" spans="1:19" ht="14.65" customHeight="1" x14ac:dyDescent="0.45">
      <c r="A11" s="28">
        <v>8</v>
      </c>
      <c r="B11" s="3" t="s">
        <v>168</v>
      </c>
      <c r="C11" s="3" t="s">
        <v>5</v>
      </c>
      <c r="D11" s="3">
        <v>52058</v>
      </c>
      <c r="E11" s="3">
        <v>19377</v>
      </c>
      <c r="F11" s="3">
        <v>19422</v>
      </c>
      <c r="G11" s="3">
        <v>14740</v>
      </c>
      <c r="H11" s="3">
        <v>12867</v>
      </c>
      <c r="I11" s="3">
        <v>8857</v>
      </c>
      <c r="J11" s="3">
        <v>11844</v>
      </c>
      <c r="K11" s="3">
        <v>18237</v>
      </c>
      <c r="L11" s="3">
        <v>5044</v>
      </c>
      <c r="M11" s="3">
        <v>7872</v>
      </c>
      <c r="N11" s="3">
        <v>6274</v>
      </c>
      <c r="O11" s="3">
        <v>6159</v>
      </c>
      <c r="P11" s="37"/>
      <c r="Q11" s="11">
        <v>4900.0000000002001</v>
      </c>
      <c r="R11" s="11">
        <v>3654.1397401136001</v>
      </c>
      <c r="S11" s="11">
        <v>7486</v>
      </c>
    </row>
    <row r="12" spans="1:19" ht="14.65" customHeight="1" x14ac:dyDescent="0.45">
      <c r="A12" s="28">
        <v>9</v>
      </c>
      <c r="B12" s="3" t="s">
        <v>191</v>
      </c>
      <c r="C12" s="3" t="s">
        <v>5</v>
      </c>
      <c r="D12" s="3">
        <v>8791</v>
      </c>
      <c r="E12" s="3">
        <v>9013</v>
      </c>
      <c r="F12" s="3">
        <v>29192</v>
      </c>
      <c r="G12" s="3">
        <v>29652</v>
      </c>
      <c r="H12" s="3">
        <v>6184</v>
      </c>
      <c r="I12" s="3">
        <v>33072</v>
      </c>
      <c r="J12" s="3">
        <v>13035</v>
      </c>
      <c r="K12" s="3">
        <v>13043</v>
      </c>
      <c r="L12" s="3">
        <v>7891</v>
      </c>
      <c r="M12" s="3">
        <v>30064</v>
      </c>
      <c r="N12" s="3">
        <v>14082</v>
      </c>
      <c r="O12" s="3">
        <v>6871</v>
      </c>
      <c r="P12" s="37"/>
      <c r="Q12" s="11">
        <v>6500.0000000001</v>
      </c>
      <c r="R12" s="11">
        <v>5261.6807516837998</v>
      </c>
      <c r="S12" s="11">
        <v>29552.9999999998</v>
      </c>
    </row>
    <row r="13" spans="1:19" ht="14.65" customHeight="1" x14ac:dyDescent="0.45">
      <c r="A13" s="28">
        <v>10</v>
      </c>
      <c r="B13" s="3" t="s">
        <v>192</v>
      </c>
      <c r="C13" s="3" t="s">
        <v>5</v>
      </c>
      <c r="D13" s="3">
        <v>4556</v>
      </c>
      <c r="E13" s="3">
        <v>22976</v>
      </c>
      <c r="F13" s="3">
        <v>17742</v>
      </c>
      <c r="G13" s="3">
        <v>17422</v>
      </c>
      <c r="H13" s="3">
        <v>13205</v>
      </c>
      <c r="I13" s="3">
        <v>12588</v>
      </c>
      <c r="J13" s="3">
        <v>17315</v>
      </c>
      <c r="K13" s="3">
        <v>16472</v>
      </c>
      <c r="L13" s="3">
        <v>8562</v>
      </c>
      <c r="M13" s="3">
        <v>16994</v>
      </c>
      <c r="N13" s="3">
        <v>8789</v>
      </c>
      <c r="O13" s="3">
        <v>7744</v>
      </c>
      <c r="P13" s="37"/>
      <c r="Q13" s="11">
        <v>6500</v>
      </c>
      <c r="R13" s="11">
        <v>5330.8312845115997</v>
      </c>
      <c r="S13" s="11">
        <v>14803.9999999999</v>
      </c>
    </row>
    <row r="14" spans="1:19" ht="14.65" customHeight="1" x14ac:dyDescent="0.45">
      <c r="A14" s="28">
        <v>11</v>
      </c>
      <c r="B14" s="3" t="s">
        <v>172</v>
      </c>
      <c r="C14" s="3" t="s">
        <v>4</v>
      </c>
      <c r="D14" s="3">
        <v>1072</v>
      </c>
      <c r="E14" s="3">
        <v>675</v>
      </c>
      <c r="F14" s="3">
        <v>345</v>
      </c>
      <c r="G14" s="3">
        <v>148</v>
      </c>
      <c r="H14" s="3">
        <v>376</v>
      </c>
      <c r="I14" s="3">
        <v>376</v>
      </c>
      <c r="J14" s="3">
        <v>931</v>
      </c>
      <c r="K14" s="3">
        <v>1061</v>
      </c>
      <c r="L14" s="3">
        <v>462</v>
      </c>
      <c r="M14" s="3">
        <v>1111</v>
      </c>
      <c r="N14" s="3">
        <v>1997</v>
      </c>
      <c r="O14" s="3">
        <v>671</v>
      </c>
      <c r="P14" s="37"/>
      <c r="Q14" s="11">
        <v>654.74510647980003</v>
      </c>
      <c r="R14" s="11">
        <v>302.69166870020001</v>
      </c>
      <c r="S14" s="11">
        <v>1283</v>
      </c>
    </row>
    <row r="15" spans="1:19" ht="14.65" customHeight="1" x14ac:dyDescent="0.45">
      <c r="A15" s="28">
        <v>12</v>
      </c>
      <c r="B15" s="3" t="s">
        <v>174</v>
      </c>
      <c r="C15" s="3" t="s">
        <v>4</v>
      </c>
      <c r="D15" s="3">
        <v>1901</v>
      </c>
      <c r="E15" s="3">
        <v>1380</v>
      </c>
      <c r="F15" s="3">
        <v>1530</v>
      </c>
      <c r="G15" s="3">
        <v>1275</v>
      </c>
      <c r="H15" s="3">
        <v>1062</v>
      </c>
      <c r="I15" s="3">
        <v>1486</v>
      </c>
      <c r="J15" s="3">
        <v>1458</v>
      </c>
      <c r="K15" s="3">
        <v>1331</v>
      </c>
      <c r="L15" s="3">
        <v>1594</v>
      </c>
      <c r="M15" s="3">
        <v>1190</v>
      </c>
      <c r="N15" s="3">
        <v>2413</v>
      </c>
      <c r="O15" s="3">
        <v>1329</v>
      </c>
      <c r="P15" s="37"/>
      <c r="Q15" s="11">
        <v>1674</v>
      </c>
      <c r="R15" s="11">
        <v>1673.9999999999</v>
      </c>
      <c r="S15" s="11">
        <v>1579</v>
      </c>
    </row>
    <row r="16" spans="1:19" ht="14.65" customHeight="1" x14ac:dyDescent="0.45">
      <c r="A16" s="28">
        <v>13</v>
      </c>
      <c r="B16" s="3" t="s">
        <v>176</v>
      </c>
      <c r="C16" s="3" t="s">
        <v>4</v>
      </c>
      <c r="D16" s="3">
        <v>606</v>
      </c>
      <c r="E16" s="3">
        <v>371</v>
      </c>
      <c r="F16" s="3">
        <v>528</v>
      </c>
      <c r="G16" s="3">
        <v>361</v>
      </c>
      <c r="H16" s="3">
        <v>367</v>
      </c>
      <c r="I16" s="3">
        <v>475</v>
      </c>
      <c r="J16" s="3">
        <v>392</v>
      </c>
      <c r="K16" s="3">
        <v>242</v>
      </c>
      <c r="L16" s="3">
        <v>341</v>
      </c>
      <c r="M16" s="3">
        <v>313</v>
      </c>
      <c r="N16" s="3">
        <v>448</v>
      </c>
      <c r="O16" s="3">
        <v>335</v>
      </c>
      <c r="P16" s="37"/>
      <c r="Q16" s="11">
        <v>361</v>
      </c>
      <c r="R16" s="11">
        <v>293.21820002010003</v>
      </c>
      <c r="S16" s="11">
        <v>444.00000000040001</v>
      </c>
    </row>
    <row r="17" spans="1:22" ht="14.65" customHeight="1" x14ac:dyDescent="0.45">
      <c r="A17" s="28">
        <v>14</v>
      </c>
      <c r="B17" s="3" t="s">
        <v>178</v>
      </c>
      <c r="C17" s="3" t="s">
        <v>4</v>
      </c>
      <c r="D17" s="3">
        <v>0</v>
      </c>
      <c r="E17" s="3">
        <v>0</v>
      </c>
      <c r="F17" s="3">
        <v>0</v>
      </c>
      <c r="G17" s="3">
        <v>205</v>
      </c>
      <c r="H17" s="3">
        <v>246</v>
      </c>
      <c r="I17" s="3">
        <v>315</v>
      </c>
      <c r="J17" s="3">
        <v>1564</v>
      </c>
      <c r="K17" s="3">
        <v>3637</v>
      </c>
      <c r="L17" s="3">
        <v>10291</v>
      </c>
      <c r="M17" s="3">
        <v>18436</v>
      </c>
      <c r="N17" s="3">
        <v>6482</v>
      </c>
      <c r="O17" s="3">
        <v>6327</v>
      </c>
      <c r="P17" s="37"/>
      <c r="Q17" s="11">
        <v>9187.9999999999</v>
      </c>
      <c r="R17" s="11">
        <v>7017.4740210001</v>
      </c>
      <c r="S17" s="11">
        <v>9997.0000000001</v>
      </c>
    </row>
    <row r="18" spans="1:22" ht="14.65" customHeight="1" x14ac:dyDescent="0.45">
      <c r="A18" s="28">
        <v>15</v>
      </c>
      <c r="B18" s="3" t="s">
        <v>51</v>
      </c>
      <c r="C18" s="3" t="s">
        <v>4</v>
      </c>
      <c r="D18" s="3">
        <v>654</v>
      </c>
      <c r="E18" s="3">
        <v>866</v>
      </c>
      <c r="F18" s="3">
        <v>957</v>
      </c>
      <c r="G18" s="3">
        <v>615</v>
      </c>
      <c r="H18" s="3">
        <v>1116</v>
      </c>
      <c r="I18" s="3">
        <v>1313</v>
      </c>
      <c r="J18" s="3">
        <v>1072</v>
      </c>
      <c r="K18" s="3">
        <v>862</v>
      </c>
      <c r="L18" s="3">
        <v>748</v>
      </c>
      <c r="M18" s="3">
        <v>676</v>
      </c>
      <c r="N18" s="3">
        <v>888</v>
      </c>
      <c r="O18" s="3">
        <v>603</v>
      </c>
      <c r="P18" s="37"/>
      <c r="Q18" s="11">
        <v>897</v>
      </c>
      <c r="R18" s="11">
        <v>625.57616450010005</v>
      </c>
      <c r="S18" s="11">
        <v>516</v>
      </c>
    </row>
    <row r="19" spans="1:22" ht="14.65" customHeight="1" x14ac:dyDescent="0.45">
      <c r="A19" s="28">
        <v>16</v>
      </c>
      <c r="B19" s="3" t="s">
        <v>52</v>
      </c>
      <c r="C19" s="3" t="s">
        <v>4</v>
      </c>
      <c r="D19" s="3">
        <v>610</v>
      </c>
      <c r="E19" s="3">
        <v>536</v>
      </c>
      <c r="F19" s="3">
        <v>662</v>
      </c>
      <c r="G19" s="3">
        <v>555</v>
      </c>
      <c r="H19" s="3">
        <v>512</v>
      </c>
      <c r="I19" s="3">
        <v>518</v>
      </c>
      <c r="J19" s="3">
        <v>540</v>
      </c>
      <c r="K19" s="3">
        <v>603</v>
      </c>
      <c r="L19" s="3">
        <v>659</v>
      </c>
      <c r="M19" s="3">
        <v>556</v>
      </c>
      <c r="N19" s="3">
        <v>658</v>
      </c>
      <c r="O19" s="3">
        <v>522</v>
      </c>
      <c r="P19" s="37"/>
      <c r="Q19" s="11">
        <v>443.99999999990001</v>
      </c>
      <c r="R19" s="11">
        <v>356.71630630020002</v>
      </c>
      <c r="S19" s="11">
        <v>410</v>
      </c>
    </row>
    <row r="20" spans="1:22" ht="14.65" customHeight="1" x14ac:dyDescent="0.45">
      <c r="A20" s="28">
        <v>17</v>
      </c>
      <c r="B20" s="3" t="s">
        <v>182</v>
      </c>
      <c r="C20" s="3" t="s">
        <v>4</v>
      </c>
      <c r="D20" s="3">
        <v>0</v>
      </c>
      <c r="E20" s="3">
        <v>0</v>
      </c>
      <c r="F20" s="3">
        <v>134</v>
      </c>
      <c r="G20" s="3">
        <v>114</v>
      </c>
      <c r="H20" s="3">
        <v>182</v>
      </c>
      <c r="I20" s="3">
        <v>340</v>
      </c>
      <c r="J20" s="3">
        <v>633</v>
      </c>
      <c r="K20" s="3">
        <v>741</v>
      </c>
      <c r="L20" s="3">
        <v>900</v>
      </c>
      <c r="M20" s="3">
        <v>881</v>
      </c>
      <c r="N20" s="3">
        <v>982</v>
      </c>
      <c r="O20" s="3">
        <v>621</v>
      </c>
      <c r="P20" s="37"/>
      <c r="Q20" s="11">
        <v>902.99999999980002</v>
      </c>
      <c r="R20" s="11">
        <v>798</v>
      </c>
      <c r="S20" s="11">
        <v>568</v>
      </c>
    </row>
    <row r="21" spans="1:22" ht="14.65" customHeight="1" x14ac:dyDescent="0.45">
      <c r="A21" s="28">
        <v>18</v>
      </c>
      <c r="B21" s="3" t="s">
        <v>184</v>
      </c>
      <c r="C21" s="3" t="s">
        <v>5</v>
      </c>
      <c r="D21" s="3">
        <v>46</v>
      </c>
      <c r="E21" s="3">
        <v>72</v>
      </c>
      <c r="F21" s="3">
        <v>173</v>
      </c>
      <c r="G21" s="3">
        <v>92</v>
      </c>
      <c r="H21" s="3">
        <v>93</v>
      </c>
      <c r="I21" s="3">
        <v>109</v>
      </c>
      <c r="J21" s="3">
        <v>190</v>
      </c>
      <c r="K21" s="3">
        <v>117</v>
      </c>
      <c r="L21" s="3">
        <v>167</v>
      </c>
      <c r="M21" s="3">
        <v>102</v>
      </c>
      <c r="N21" s="3">
        <v>136</v>
      </c>
      <c r="O21" s="3">
        <v>130</v>
      </c>
      <c r="P21" s="37"/>
      <c r="Q21" s="11">
        <v>109.9999999999</v>
      </c>
      <c r="R21" s="11">
        <v>101.10404001009999</v>
      </c>
      <c r="S21" s="11">
        <v>148.00000000009999</v>
      </c>
    </row>
    <row r="22" spans="1:22" ht="14.65" customHeight="1" x14ac:dyDescent="0.45">
      <c r="A22" s="28">
        <v>19</v>
      </c>
      <c r="B22" s="3" t="s">
        <v>7</v>
      </c>
      <c r="C22" s="3" t="s">
        <v>4</v>
      </c>
      <c r="D22" s="3">
        <v>15770</v>
      </c>
      <c r="E22" s="3">
        <v>1199</v>
      </c>
      <c r="F22" s="3">
        <v>3395</v>
      </c>
      <c r="G22" s="3">
        <v>5576</v>
      </c>
      <c r="H22" s="3">
        <v>5272</v>
      </c>
      <c r="I22" s="3">
        <v>6085</v>
      </c>
      <c r="J22" s="3">
        <v>6761</v>
      </c>
      <c r="K22" s="3">
        <v>16697</v>
      </c>
      <c r="L22" s="3">
        <v>3718</v>
      </c>
      <c r="M22" s="3">
        <v>3654</v>
      </c>
      <c r="N22" s="3">
        <v>2850</v>
      </c>
      <c r="O22" s="3">
        <v>1745</v>
      </c>
      <c r="P22" s="37"/>
      <c r="Q22" s="11">
        <v>4400.9999999996999</v>
      </c>
      <c r="R22" s="11">
        <v>5000.0000000002001</v>
      </c>
      <c r="S22" s="11">
        <v>3190.0000000002001</v>
      </c>
    </row>
    <row r="23" spans="1:22" ht="14.65" customHeight="1" x14ac:dyDescent="0.45">
      <c r="A23" s="28">
        <v>20</v>
      </c>
      <c r="B23" s="3" t="s">
        <v>187</v>
      </c>
      <c r="C23" s="3" t="s">
        <v>4</v>
      </c>
      <c r="D23" s="3">
        <v>2942</v>
      </c>
      <c r="E23" s="3">
        <v>8598</v>
      </c>
      <c r="F23" s="3">
        <v>4088</v>
      </c>
      <c r="G23" s="3">
        <v>1052</v>
      </c>
      <c r="H23" s="3">
        <v>1375</v>
      </c>
      <c r="I23" s="3">
        <v>2201</v>
      </c>
      <c r="J23" s="3">
        <v>822</v>
      </c>
      <c r="K23" s="3">
        <v>415</v>
      </c>
      <c r="L23" s="3">
        <v>1664</v>
      </c>
      <c r="M23" s="3">
        <v>1626</v>
      </c>
      <c r="N23" s="3">
        <v>1975</v>
      </c>
      <c r="O23" s="3">
        <v>1053</v>
      </c>
      <c r="P23" s="37"/>
      <c r="Q23" s="11">
        <v>1651.0000000002001</v>
      </c>
      <c r="R23" s="11">
        <v>0</v>
      </c>
      <c r="S23" s="11">
        <v>1775.0000000001</v>
      </c>
    </row>
    <row r="26" spans="1:22" x14ac:dyDescent="0.45">
      <c r="A26" s="74" t="s">
        <v>87</v>
      </c>
      <c r="B26" s="77" t="s">
        <v>88</v>
      </c>
      <c r="C26" s="80" t="s">
        <v>104</v>
      </c>
      <c r="D26" s="80"/>
      <c r="E26" s="80"/>
      <c r="F26" s="80"/>
      <c r="G26" s="80"/>
      <c r="H26" s="80"/>
      <c r="I26" s="34"/>
      <c r="J26" s="81" t="s">
        <v>105</v>
      </c>
      <c r="K26" s="81"/>
      <c r="L26" s="81"/>
      <c r="M26" s="81"/>
      <c r="N26" s="81"/>
      <c r="O26" s="81"/>
      <c r="P26" s="34"/>
      <c r="Q26" s="82" t="s">
        <v>145</v>
      </c>
      <c r="R26" s="82"/>
      <c r="S26" s="82"/>
      <c r="T26" s="82"/>
      <c r="U26" s="82"/>
      <c r="V26" s="82"/>
    </row>
    <row r="27" spans="1:22" x14ac:dyDescent="0.45">
      <c r="A27" s="75"/>
      <c r="B27" s="78"/>
      <c r="C27" s="73" t="s">
        <v>3</v>
      </c>
      <c r="D27" s="73"/>
      <c r="E27" s="73" t="s">
        <v>2</v>
      </c>
      <c r="F27" s="73"/>
      <c r="G27" s="73" t="s">
        <v>1</v>
      </c>
      <c r="H27" s="73"/>
      <c r="I27" s="34"/>
      <c r="J27" s="73" t="s">
        <v>3</v>
      </c>
      <c r="K27" s="73"/>
      <c r="L27" s="73" t="s">
        <v>2</v>
      </c>
      <c r="M27" s="73"/>
      <c r="N27" s="73" t="s">
        <v>1</v>
      </c>
      <c r="O27" s="73"/>
      <c r="P27" s="34"/>
      <c r="Q27" s="73" t="s">
        <v>3</v>
      </c>
      <c r="R27" s="73"/>
      <c r="S27" s="73" t="s">
        <v>2</v>
      </c>
      <c r="T27" s="73"/>
      <c r="U27" s="73" t="s">
        <v>1</v>
      </c>
      <c r="V27" s="73"/>
    </row>
    <row r="28" spans="1:22" ht="25.8" customHeight="1" x14ac:dyDescent="0.45">
      <c r="A28" s="76"/>
      <c r="B28" s="79"/>
      <c r="C28" s="38" t="s">
        <v>70</v>
      </c>
      <c r="D28" s="38" t="s">
        <v>68</v>
      </c>
      <c r="E28" s="38" t="s">
        <v>70</v>
      </c>
      <c r="F28" s="38" t="s">
        <v>68</v>
      </c>
      <c r="G28" s="38" t="s">
        <v>70</v>
      </c>
      <c r="H28" s="38" t="s">
        <v>68</v>
      </c>
      <c r="I28" s="35"/>
      <c r="J28" s="38" t="s">
        <v>70</v>
      </c>
      <c r="K28" s="38" t="s">
        <v>68</v>
      </c>
      <c r="L28" s="38" t="s">
        <v>70</v>
      </c>
      <c r="M28" s="38" t="s">
        <v>68</v>
      </c>
      <c r="N28" s="38" t="s">
        <v>70</v>
      </c>
      <c r="O28" s="38" t="s">
        <v>68</v>
      </c>
      <c r="P28" s="35"/>
      <c r="Q28" s="38" t="s">
        <v>70</v>
      </c>
      <c r="R28" s="38" t="s">
        <v>68</v>
      </c>
      <c r="S28" s="38" t="s">
        <v>70</v>
      </c>
      <c r="T28" s="38" t="s">
        <v>68</v>
      </c>
      <c r="U28" s="38" t="s">
        <v>70</v>
      </c>
      <c r="V28" s="38" t="s">
        <v>68</v>
      </c>
    </row>
    <row r="29" spans="1:22" x14ac:dyDescent="0.45">
      <c r="A29" s="6">
        <v>1</v>
      </c>
      <c r="B29" s="3" t="s">
        <v>6</v>
      </c>
      <c r="C29" s="52">
        <v>0.96447657969192102</v>
      </c>
      <c r="D29" s="52">
        <v>-3.5523420308079201E-2</v>
      </c>
      <c r="E29" s="52">
        <v>0.67724980373304999</v>
      </c>
      <c r="F29" s="52">
        <v>0.32275019626695001</v>
      </c>
      <c r="G29" s="52">
        <v>0.43668577384072399</v>
      </c>
      <c r="H29" s="52">
        <v>0.56331422615927595</v>
      </c>
      <c r="I29" s="53"/>
      <c r="J29" s="52">
        <v>0.79063187676846902</v>
      </c>
      <c r="K29" s="52">
        <v>-0.20936812323153101</v>
      </c>
      <c r="L29" s="52">
        <v>0.39061213285753499</v>
      </c>
      <c r="M29" s="52">
        <v>0.60938786714246496</v>
      </c>
      <c r="N29" s="52">
        <v>0.41714434601349698</v>
      </c>
      <c r="O29" s="52">
        <v>0.58285565398650296</v>
      </c>
      <c r="P29" s="53"/>
      <c r="Q29" s="52">
        <v>0.78937441056277902</v>
      </c>
      <c r="R29" s="52">
        <v>-0.21062558943722101</v>
      </c>
      <c r="S29" s="52">
        <v>0.52292066977771101</v>
      </c>
      <c r="T29" s="52">
        <v>0.47707933022228899</v>
      </c>
      <c r="U29" s="52">
        <v>0</v>
      </c>
      <c r="V29" s="52">
        <v>1.18863991662319</v>
      </c>
    </row>
    <row r="30" spans="1:22" x14ac:dyDescent="0.45">
      <c r="A30" s="6">
        <v>2</v>
      </c>
      <c r="B30" s="3" t="s">
        <v>159</v>
      </c>
      <c r="C30" s="52">
        <v>0.99570077386070499</v>
      </c>
      <c r="D30" s="52">
        <v>4.2992261392947699E-3</v>
      </c>
      <c r="E30" s="52">
        <v>0.45232273838630799</v>
      </c>
      <c r="F30" s="52">
        <v>0.54767726161369201</v>
      </c>
      <c r="G30" s="52">
        <v>0.91732207941684296</v>
      </c>
      <c r="H30" s="52">
        <v>8.2677920583157302E-2</v>
      </c>
      <c r="I30" s="53"/>
      <c r="J30" s="52">
        <v>0.941459001375753</v>
      </c>
      <c r="K30" s="52">
        <v>-5.8540998624247602E-2</v>
      </c>
      <c r="L30" s="52">
        <v>0.23392121980442501</v>
      </c>
      <c r="M30" s="52">
        <v>0.76607878019557496</v>
      </c>
      <c r="N30" s="52">
        <v>0.90889998037596398</v>
      </c>
      <c r="O30" s="52">
        <v>-9.1100019624036202E-2</v>
      </c>
      <c r="P30" s="53"/>
      <c r="Q30" s="52">
        <v>0.77730008598452305</v>
      </c>
      <c r="R30" s="52">
        <v>-0.22269991401547701</v>
      </c>
      <c r="S30" s="52">
        <v>0.68997555012224898</v>
      </c>
      <c r="T30" s="52">
        <v>0.31002444987775102</v>
      </c>
      <c r="U30" s="52">
        <v>0.92902359485900599</v>
      </c>
      <c r="V30" s="52">
        <v>-7.0976405140993695E-2</v>
      </c>
    </row>
    <row r="31" spans="1:22" x14ac:dyDescent="0.45">
      <c r="A31" s="28">
        <v>3</v>
      </c>
      <c r="B31" s="3" t="s">
        <v>161</v>
      </c>
      <c r="C31" s="52">
        <v>0.61572392319665303</v>
      </c>
      <c r="D31" s="52">
        <v>0.38427607680334702</v>
      </c>
      <c r="E31" s="52">
        <v>0.92639405204463998</v>
      </c>
      <c r="F31" s="52">
        <v>7.3605947955360504E-2</v>
      </c>
      <c r="G31" s="52">
        <v>0.934308231935019</v>
      </c>
      <c r="H31" s="52">
        <v>-6.5691768064981407E-2</v>
      </c>
      <c r="I31" s="53"/>
      <c r="J31" s="52">
        <v>7.9916969382433894E-2</v>
      </c>
      <c r="K31" s="52">
        <v>0.92008303061756602</v>
      </c>
      <c r="L31" s="52">
        <v>0.77046197962823804</v>
      </c>
      <c r="M31" s="52">
        <v>0.22953802037176199</v>
      </c>
      <c r="N31" s="52">
        <v>0.71732283676654196</v>
      </c>
      <c r="O31" s="52">
        <v>0.28267716323345898</v>
      </c>
      <c r="P31" s="53"/>
      <c r="Q31" s="52">
        <v>0.63985469641927895</v>
      </c>
      <c r="R31" s="52">
        <v>0.360145303580721</v>
      </c>
      <c r="S31" s="52">
        <v>0.83791821561336799</v>
      </c>
      <c r="T31" s="52">
        <v>-0.16208178438663201</v>
      </c>
      <c r="U31" s="52">
        <v>0.61345193508116402</v>
      </c>
      <c r="V31" s="52">
        <v>-0.38654806491883598</v>
      </c>
    </row>
    <row r="32" spans="1:22" x14ac:dyDescent="0.45">
      <c r="A32" s="28">
        <v>4</v>
      </c>
      <c r="B32" s="3" t="s">
        <v>190</v>
      </c>
      <c r="C32" s="52">
        <v>0.88498155931036104</v>
      </c>
      <c r="D32" s="52">
        <v>0.115018440689639</v>
      </c>
      <c r="E32" s="52">
        <v>0.842143906020554</v>
      </c>
      <c r="F32" s="52">
        <v>-0.157856093979446</v>
      </c>
      <c r="G32" s="52">
        <v>0.90838897215787795</v>
      </c>
      <c r="H32" s="52">
        <v>-9.1611027842121995E-2</v>
      </c>
      <c r="I32" s="53"/>
      <c r="J32" s="52">
        <v>0.79811733424821996</v>
      </c>
      <c r="K32" s="52">
        <v>-0.20188266575177999</v>
      </c>
      <c r="L32" s="52">
        <v>0.68333696890454798</v>
      </c>
      <c r="M32" s="52">
        <v>-0.31666303109545202</v>
      </c>
      <c r="N32" s="52">
        <v>0.51028699482268702</v>
      </c>
      <c r="O32" s="52">
        <v>-0.48971300517731298</v>
      </c>
      <c r="P32" s="53"/>
      <c r="Q32" s="52">
        <v>0.42396431940989798</v>
      </c>
      <c r="R32" s="52">
        <v>0.57603568059010202</v>
      </c>
      <c r="S32" s="52">
        <v>0.93426621750021999</v>
      </c>
      <c r="T32" s="52">
        <v>6.5733782499779805E-2</v>
      </c>
      <c r="U32" s="52">
        <v>0.941499750193033</v>
      </c>
      <c r="V32" s="52">
        <v>5.85002498069674E-2</v>
      </c>
    </row>
    <row r="33" spans="1:22" x14ac:dyDescent="0.45">
      <c r="A33" s="28">
        <v>5</v>
      </c>
      <c r="B33" s="3" t="s">
        <v>8</v>
      </c>
      <c r="C33" s="52">
        <v>0.63883847549909301</v>
      </c>
      <c r="D33" s="52">
        <v>0.36116152450090699</v>
      </c>
      <c r="E33" s="52">
        <v>0.89224433768009603</v>
      </c>
      <c r="F33" s="52">
        <v>-0.10775566231990399</v>
      </c>
      <c r="G33" s="52">
        <v>0.63711911357346296</v>
      </c>
      <c r="H33" s="52">
        <v>-0.36288088642653699</v>
      </c>
      <c r="I33" s="53"/>
      <c r="J33" s="52">
        <v>0.89745916515426505</v>
      </c>
      <c r="K33" s="52">
        <v>0.10254083484573499</v>
      </c>
      <c r="L33" s="52">
        <v>0.95950583390528499</v>
      </c>
      <c r="M33" s="52">
        <v>-4.0494166094715199E-2</v>
      </c>
      <c r="N33" s="52">
        <v>0.35734072022160701</v>
      </c>
      <c r="O33" s="52">
        <v>-0.64265927977839299</v>
      </c>
      <c r="P33" s="53"/>
      <c r="Q33" s="52">
        <v>0.86751361161515395</v>
      </c>
      <c r="R33" s="52">
        <v>0.132486388384846</v>
      </c>
      <c r="S33" s="52">
        <v>0.78448867536032996</v>
      </c>
      <c r="T33" s="52">
        <v>-0.21551132463967099</v>
      </c>
      <c r="U33" s="52">
        <v>0.6</v>
      </c>
      <c r="V33" s="52">
        <v>-0.4</v>
      </c>
    </row>
    <row r="34" spans="1:22" x14ac:dyDescent="0.45">
      <c r="A34" s="28">
        <v>6</v>
      </c>
      <c r="B34" s="3" t="s">
        <v>9</v>
      </c>
      <c r="C34" s="52">
        <v>0.89655172413806905</v>
      </c>
      <c r="D34" s="52">
        <v>0.103448275861931</v>
      </c>
      <c r="E34" s="52">
        <v>0.60728744939271295</v>
      </c>
      <c r="F34" s="52">
        <v>-0.39271255060728799</v>
      </c>
      <c r="G34" s="52">
        <v>0.76543209876543195</v>
      </c>
      <c r="H34" s="52">
        <v>0.234567901234568</v>
      </c>
      <c r="I34" s="53"/>
      <c r="J34" s="52">
        <v>0.68965517241406904</v>
      </c>
      <c r="K34" s="52">
        <v>-0.31034482758593102</v>
      </c>
      <c r="L34" s="52">
        <v>0.236167341430364</v>
      </c>
      <c r="M34" s="52">
        <v>-0.763832658569636</v>
      </c>
      <c r="N34" s="52">
        <v>0.61728395061728403</v>
      </c>
      <c r="O34" s="52">
        <v>-0.38271604938271597</v>
      </c>
      <c r="P34" s="53"/>
      <c r="Q34" s="52">
        <v>0.27034482758606898</v>
      </c>
      <c r="R34" s="52">
        <v>0.72965517241393096</v>
      </c>
      <c r="S34" s="52">
        <v>0.437246963562753</v>
      </c>
      <c r="T34" s="52">
        <v>-0.56275303643724695</v>
      </c>
      <c r="U34" s="52">
        <v>0.37654320987654299</v>
      </c>
      <c r="V34" s="52">
        <v>0.62345679012345701</v>
      </c>
    </row>
    <row r="35" spans="1:22" x14ac:dyDescent="0.45">
      <c r="A35" s="28">
        <v>7</v>
      </c>
      <c r="B35" s="3" t="s">
        <v>166</v>
      </c>
      <c r="C35" s="52">
        <v>0.59306733167082304</v>
      </c>
      <c r="D35" s="52">
        <v>-0.40693266832917702</v>
      </c>
      <c r="E35" s="52">
        <v>0.68623243933588696</v>
      </c>
      <c r="F35" s="52">
        <v>-0.31376756066411299</v>
      </c>
      <c r="G35" s="52">
        <v>0.550234948604993</v>
      </c>
      <c r="H35" s="52">
        <v>-0.449765051395007</v>
      </c>
      <c r="I35" s="53"/>
      <c r="J35" s="52">
        <v>0.61359677718204497</v>
      </c>
      <c r="K35" s="52">
        <v>-0.38640322281795503</v>
      </c>
      <c r="L35" s="52">
        <v>0.93013062541519798</v>
      </c>
      <c r="M35" s="52">
        <v>-6.9869374584802094E-2</v>
      </c>
      <c r="N35" s="52">
        <v>0.93372195464302499</v>
      </c>
      <c r="O35" s="52">
        <v>6.6278045356974999E-2</v>
      </c>
      <c r="P35" s="53"/>
      <c r="Q35" s="52">
        <v>0.83665835411446399</v>
      </c>
      <c r="R35" s="52">
        <v>-0.16334164588553601</v>
      </c>
      <c r="S35" s="52">
        <v>0.90676883780344797</v>
      </c>
      <c r="T35" s="52">
        <v>9.3231162196551698E-2</v>
      </c>
      <c r="U35" s="52">
        <v>0.80028888887224703</v>
      </c>
      <c r="V35" s="52">
        <v>-0.199711111127753</v>
      </c>
    </row>
    <row r="36" spans="1:22" x14ac:dyDescent="0.45">
      <c r="A36" s="28">
        <v>8</v>
      </c>
      <c r="B36" s="3" t="s">
        <v>168</v>
      </c>
      <c r="C36" s="52">
        <v>0.87189478811495402</v>
      </c>
      <c r="D36" s="52">
        <v>0.12810521188504601</v>
      </c>
      <c r="E36" s="52">
        <v>0.64185527574118595</v>
      </c>
      <c r="F36" s="52">
        <v>0.358144724258814</v>
      </c>
      <c r="G36" s="52">
        <v>0.98373983739837401</v>
      </c>
      <c r="H36" s="52">
        <v>1.62601626016259E-2</v>
      </c>
      <c r="I36" s="53"/>
      <c r="J36" s="52">
        <v>0.59533474048819601</v>
      </c>
      <c r="K36" s="52">
        <v>-0.40466525951180399</v>
      </c>
      <c r="L36" s="52">
        <v>0.54656785368820504</v>
      </c>
      <c r="M36" s="52">
        <v>0.45343214631179501</v>
      </c>
      <c r="N36" s="52">
        <v>0.88850844150403996</v>
      </c>
      <c r="O36" s="52">
        <v>0.11149155849596</v>
      </c>
      <c r="P36" s="53"/>
      <c r="Q36" s="52">
        <v>0.86751095957135904</v>
      </c>
      <c r="R36" s="52">
        <v>-0.13248904042864099</v>
      </c>
      <c r="S36" s="52">
        <v>9.3560726809005401E-2</v>
      </c>
      <c r="T36" s="52">
        <v>0.90643927319099504</v>
      </c>
      <c r="U36" s="52">
        <v>0.90929878048781698</v>
      </c>
      <c r="V36" s="52">
        <v>-9.0701219512182504E-2</v>
      </c>
    </row>
    <row r="37" spans="1:22" x14ac:dyDescent="0.45">
      <c r="A37" s="28">
        <v>9</v>
      </c>
      <c r="B37" s="3" t="s">
        <v>191</v>
      </c>
      <c r="C37" s="52">
        <v>0.18075971474308</v>
      </c>
      <c r="D37" s="52">
        <v>0.81924028525692005</v>
      </c>
      <c r="E37" s="52">
        <v>0.80365004970885601</v>
      </c>
      <c r="F37" s="52">
        <v>0.19634995029114499</v>
      </c>
      <c r="G37" s="52">
        <v>0.33481905268759599</v>
      </c>
      <c r="H37" s="52">
        <v>-0.66518094731240396</v>
      </c>
      <c r="I37" s="53"/>
      <c r="J37" s="52">
        <v>0.78181039820058196</v>
      </c>
      <c r="K37" s="52">
        <v>0.21818960179941799</v>
      </c>
      <c r="L37" s="52">
        <v>0.64623376828179202</v>
      </c>
      <c r="M37" s="52">
        <v>-0.35376623171820798</v>
      </c>
      <c r="N37" s="52">
        <v>0.31736045837448101</v>
      </c>
      <c r="O37" s="52">
        <v>-0.68263954162551899</v>
      </c>
      <c r="P37" s="53"/>
      <c r="Q37" s="52">
        <v>0.39601222529473101</v>
      </c>
      <c r="R37" s="52">
        <v>0.60398777470526899</v>
      </c>
      <c r="S37" s="52">
        <v>0.52464138616672396</v>
      </c>
      <c r="T37" s="52">
        <v>0.47535861383327599</v>
      </c>
      <c r="U37" s="52">
        <v>0.303020223523157</v>
      </c>
      <c r="V37" s="52">
        <v>-0.69697977647684295</v>
      </c>
    </row>
    <row r="38" spans="1:22" x14ac:dyDescent="0.45">
      <c r="A38" s="28">
        <v>10</v>
      </c>
      <c r="B38" s="3" t="s">
        <v>192</v>
      </c>
      <c r="C38" s="52">
        <v>0.70867768595038705</v>
      </c>
      <c r="D38" s="52">
        <v>0.29132231404961301</v>
      </c>
      <c r="E38" s="52">
        <v>0.725679827056537</v>
      </c>
      <c r="F38" s="52">
        <v>0.274320172943463</v>
      </c>
      <c r="G38" s="52">
        <v>0.79439802283158201</v>
      </c>
      <c r="H38" s="52">
        <v>-0.20560197716841799</v>
      </c>
      <c r="I38" s="53"/>
      <c r="J38" s="52">
        <v>0.65585424922480695</v>
      </c>
      <c r="K38" s="52">
        <v>0.34414575077519299</v>
      </c>
      <c r="L38" s="52">
        <v>0.90943108362165204</v>
      </c>
      <c r="M38" s="52">
        <v>9.0568916378348005E-2</v>
      </c>
      <c r="N38" s="52">
        <v>0.95405289154352102</v>
      </c>
      <c r="O38" s="52">
        <v>4.5947108456478897E-2</v>
      </c>
      <c r="P38" s="53"/>
      <c r="Q38" s="52">
        <v>0.89204545454544204</v>
      </c>
      <c r="R38" s="52">
        <v>0.107954545454558</v>
      </c>
      <c r="S38" s="52">
        <v>0.53749004437362602</v>
      </c>
      <c r="T38" s="52">
        <v>0.46250995562637398</v>
      </c>
      <c r="U38" s="52">
        <v>0.64775803224668105</v>
      </c>
      <c r="V38" s="52">
        <v>-0.35224196775331901</v>
      </c>
    </row>
    <row r="39" spans="1:22" x14ac:dyDescent="0.45">
      <c r="A39" s="28">
        <v>11</v>
      </c>
      <c r="B39" s="3" t="s">
        <v>172</v>
      </c>
      <c r="C39" s="52">
        <v>0.85361172544053698</v>
      </c>
      <c r="D39" s="52">
        <v>0.14638827455946399</v>
      </c>
      <c r="E39" s="52">
        <v>0.29528292438112203</v>
      </c>
      <c r="F39" s="52">
        <v>-0.70471707561887797</v>
      </c>
      <c r="G39" s="52">
        <v>0.51045974477317702</v>
      </c>
      <c r="H39" s="52">
        <v>-0.48954025522682298</v>
      </c>
      <c r="I39" s="53"/>
      <c r="J39" s="52">
        <v>0.42689920839031298</v>
      </c>
      <c r="K39" s="52">
        <v>-0.57310079160968697</v>
      </c>
      <c r="L39" s="52">
        <v>0.19642259555848801</v>
      </c>
      <c r="M39" s="52">
        <v>-0.80357740444151204</v>
      </c>
      <c r="N39" s="52">
        <v>0.27706476724590501</v>
      </c>
      <c r="O39" s="52">
        <v>-0.72293523275409499</v>
      </c>
      <c r="P39" s="53"/>
      <c r="Q39" s="52">
        <v>0</v>
      </c>
      <c r="R39" s="52">
        <v>1.33084947839061</v>
      </c>
      <c r="S39" s="52">
        <v>0.47771657486214297</v>
      </c>
      <c r="T39" s="52">
        <v>-0.52228342513785697</v>
      </c>
      <c r="U39" s="52">
        <v>0.415841584158056</v>
      </c>
      <c r="V39" s="52">
        <v>-0.58415841584194395</v>
      </c>
    </row>
    <row r="40" spans="1:22" x14ac:dyDescent="0.45">
      <c r="A40" s="28">
        <v>12</v>
      </c>
      <c r="B40" s="3" t="s">
        <v>174</v>
      </c>
      <c r="C40" s="52">
        <v>0.81489841986448497</v>
      </c>
      <c r="D40" s="52">
        <v>0.185101580135515</v>
      </c>
      <c r="E40" s="52">
        <v>0.62163282221301297</v>
      </c>
      <c r="F40" s="52">
        <v>-0.37836717778698697</v>
      </c>
      <c r="G40" s="52">
        <v>0</v>
      </c>
      <c r="H40" s="52">
        <v>1.32857142857126</v>
      </c>
      <c r="I40" s="53"/>
      <c r="J40" s="52">
        <v>0.81489841986471001</v>
      </c>
      <c r="K40" s="52">
        <v>0.18510158013528999</v>
      </c>
      <c r="L40" s="52">
        <v>0.61914629092420204</v>
      </c>
      <c r="M40" s="52">
        <v>-0.38085370907579802</v>
      </c>
      <c r="N40" s="52">
        <v>0.73949579831941203</v>
      </c>
      <c r="O40" s="52">
        <v>0.26050420168058802</v>
      </c>
      <c r="P40" s="53"/>
      <c r="Q40" s="52">
        <v>0.61550037622264897</v>
      </c>
      <c r="R40" s="52">
        <v>0.38449962377735097</v>
      </c>
      <c r="S40" s="52">
        <v>0.48570244508910099</v>
      </c>
      <c r="T40" s="52">
        <v>-0.51429755491089901</v>
      </c>
      <c r="U40" s="52">
        <v>0.84789915966386498</v>
      </c>
      <c r="V40" s="52">
        <v>0.152100840336135</v>
      </c>
    </row>
    <row r="41" spans="1:22" x14ac:dyDescent="0.45">
      <c r="A41" s="28">
        <v>13</v>
      </c>
      <c r="B41" s="3" t="s">
        <v>176</v>
      </c>
      <c r="C41" s="52">
        <v>0.94029850746268695</v>
      </c>
      <c r="D41" s="52">
        <v>-5.9701492537313397E-2</v>
      </c>
      <c r="E41" s="52">
        <v>0.725446428572321</v>
      </c>
      <c r="F41" s="52">
        <v>-0.274553571427679</v>
      </c>
      <c r="G41" s="52">
        <v>0.95846645367476002</v>
      </c>
      <c r="H41" s="52">
        <v>-4.1533546325239701E-2</v>
      </c>
      <c r="I41" s="53"/>
      <c r="J41" s="52">
        <v>0.79595402985193997</v>
      </c>
      <c r="K41" s="52">
        <v>-0.20404597014806</v>
      </c>
      <c r="L41" s="52">
        <v>0.71312812499955403</v>
      </c>
      <c r="M41" s="52">
        <v>-0.28687187500044597</v>
      </c>
      <c r="N41" s="52">
        <v>0</v>
      </c>
      <c r="O41" s="52">
        <v>-1</v>
      </c>
      <c r="P41" s="53"/>
      <c r="Q41" s="52">
        <v>0.93432835820806004</v>
      </c>
      <c r="R41" s="52">
        <v>6.5671641791940405E-2</v>
      </c>
      <c r="S41" s="52">
        <v>0.89732142857187502</v>
      </c>
      <c r="T41" s="52">
        <v>-0.102678571428125</v>
      </c>
      <c r="U41" s="52">
        <v>0.91054313098913697</v>
      </c>
      <c r="V41" s="52">
        <v>8.9456869010862597E-2</v>
      </c>
    </row>
    <row r="42" spans="1:22" x14ac:dyDescent="0.45">
      <c r="A42" s="28">
        <v>14</v>
      </c>
      <c r="B42" s="3" t="s">
        <v>178</v>
      </c>
      <c r="C42" s="52">
        <v>0.94815868500079004</v>
      </c>
      <c r="D42" s="52">
        <v>5.1841314999209902E-2</v>
      </c>
      <c r="E42" s="52">
        <v>0.64470842332613398</v>
      </c>
      <c r="F42" s="52">
        <v>0.35529157667386602</v>
      </c>
      <c r="G42" s="52">
        <v>0.39894771100021698</v>
      </c>
      <c r="H42" s="52">
        <v>-0.60105228899978302</v>
      </c>
      <c r="I42" s="53"/>
      <c r="J42" s="52">
        <v>0.964478471155366</v>
      </c>
      <c r="K42" s="52">
        <v>3.5521528844634102E-2</v>
      </c>
      <c r="L42" s="52">
        <v>0.99800707636531905</v>
      </c>
      <c r="M42" s="52">
        <v>1.9929236346807101E-3</v>
      </c>
      <c r="N42" s="52">
        <v>0.23108801407572699</v>
      </c>
      <c r="O42" s="52">
        <v>-0.76891198592427301</v>
      </c>
      <c r="P42" s="53"/>
      <c r="Q42" s="52">
        <v>0.92018334123597301</v>
      </c>
      <c r="R42" s="52">
        <v>-7.9816658764026993E-2</v>
      </c>
      <c r="S42" s="52">
        <v>0.35189756248071602</v>
      </c>
      <c r="T42" s="52">
        <v>0.64810243751928398</v>
      </c>
      <c r="U42" s="52">
        <v>0.37784768930353702</v>
      </c>
      <c r="V42" s="52">
        <v>-0.62215231069646404</v>
      </c>
    </row>
    <row r="43" spans="1:22" x14ac:dyDescent="0.45">
      <c r="A43" s="28">
        <v>15</v>
      </c>
      <c r="B43" s="3" t="s">
        <v>51</v>
      </c>
      <c r="C43" s="52">
        <v>0.80762852404643504</v>
      </c>
      <c r="D43" s="52">
        <v>0.19237147595356599</v>
      </c>
      <c r="E43" s="52">
        <v>0.90202702702702697</v>
      </c>
      <c r="F43" s="52">
        <v>-9.7972972972972999E-2</v>
      </c>
      <c r="G43" s="52">
        <v>0.85650887573979295</v>
      </c>
      <c r="H43" s="52">
        <v>0.14349112426020699</v>
      </c>
      <c r="I43" s="53"/>
      <c r="J43" s="52">
        <v>0.88129956683233801</v>
      </c>
      <c r="K43" s="52">
        <v>0.118700433167662</v>
      </c>
      <c r="L43" s="52">
        <v>0.93991827657668903</v>
      </c>
      <c r="M43" s="52">
        <v>6.0081723423310897E-2</v>
      </c>
      <c r="N43" s="52">
        <v>0.61543466789940804</v>
      </c>
      <c r="O43" s="52">
        <v>0.38456533210059202</v>
      </c>
      <c r="P43" s="53"/>
      <c r="Q43" s="52">
        <v>0.91210613598673296</v>
      </c>
      <c r="R43" s="52">
        <v>8.7893864013267001E-2</v>
      </c>
      <c r="S43" s="52">
        <v>0.98986486486486502</v>
      </c>
      <c r="T43" s="52">
        <v>1.0135135135135099E-2</v>
      </c>
      <c r="U43" s="52">
        <v>0.82544378698239596</v>
      </c>
      <c r="V43" s="52">
        <v>0.17455621301760399</v>
      </c>
    </row>
    <row r="44" spans="1:22" x14ac:dyDescent="0.45">
      <c r="A44" s="28">
        <v>16</v>
      </c>
      <c r="B44" s="3" t="s">
        <v>52</v>
      </c>
      <c r="C44" s="52">
        <v>0.98850574712643702</v>
      </c>
      <c r="D44" s="52">
        <v>1.1494252873563E-2</v>
      </c>
      <c r="E44" s="52">
        <v>0.89361702127659604</v>
      </c>
      <c r="F44" s="52">
        <v>-0.10638297872340401</v>
      </c>
      <c r="G44" s="52">
        <v>0.97841726618705005</v>
      </c>
      <c r="H44" s="52">
        <v>2.15827338129496E-2</v>
      </c>
      <c r="I44" s="53"/>
      <c r="J44" s="52">
        <v>0.73689122476992297</v>
      </c>
      <c r="K44" s="52">
        <v>-0.26310877523007697</v>
      </c>
      <c r="L44" s="52">
        <v>0.79492859726398202</v>
      </c>
      <c r="M44" s="52">
        <v>-0.20507140273601801</v>
      </c>
      <c r="N44" s="52">
        <v>0.87626285359730205</v>
      </c>
      <c r="O44" s="52">
        <v>-0.12373714640269801</v>
      </c>
      <c r="P44" s="53"/>
      <c r="Q44" s="52">
        <v>0.96168582375478895</v>
      </c>
      <c r="R44" s="52">
        <v>-3.8314176245210697E-2</v>
      </c>
      <c r="S44" s="52">
        <v>0.87234042553191504</v>
      </c>
      <c r="T44" s="52">
        <v>0.12765957446808501</v>
      </c>
      <c r="U44" s="52">
        <v>0.86151079136708597</v>
      </c>
      <c r="V44" s="52">
        <v>0.138489208632914</v>
      </c>
    </row>
    <row r="45" spans="1:22" x14ac:dyDescent="0.45">
      <c r="A45" s="28">
        <v>17</v>
      </c>
      <c r="B45" s="3" t="s">
        <v>182</v>
      </c>
      <c r="C45" s="52">
        <v>0.54589371980692503</v>
      </c>
      <c r="D45" s="52">
        <v>0.45410628019307497</v>
      </c>
      <c r="E45" s="52">
        <v>0.86354378818737298</v>
      </c>
      <c r="F45" s="52">
        <v>-0.13645621181262699</v>
      </c>
      <c r="G45" s="52">
        <v>0.90805902383666304</v>
      </c>
      <c r="H45" s="52">
        <v>-9.1940976163337101E-2</v>
      </c>
      <c r="I45" s="53"/>
      <c r="J45" s="52">
        <v>0.97101449275346197</v>
      </c>
      <c r="K45" s="52">
        <v>-2.8985507246537499E-2</v>
      </c>
      <c r="L45" s="52">
        <v>0.90122199592667995</v>
      </c>
      <c r="M45" s="52">
        <v>-9.8778004073319797E-2</v>
      </c>
      <c r="N45" s="52">
        <v>0.88535754824063595</v>
      </c>
      <c r="O45" s="52">
        <v>-0.11464245175936399</v>
      </c>
      <c r="P45" s="53"/>
      <c r="Q45" s="52">
        <v>0.25120772946827702</v>
      </c>
      <c r="R45" s="52">
        <v>0.74879227053172304</v>
      </c>
      <c r="S45" s="52">
        <v>0.99898167006109995</v>
      </c>
      <c r="T45" s="52">
        <v>-1.0183299389002001E-3</v>
      </c>
      <c r="U45" s="52">
        <v>0.84790011350737804</v>
      </c>
      <c r="V45" s="52">
        <v>-0.15209988649262199</v>
      </c>
    </row>
    <row r="46" spans="1:22" x14ac:dyDescent="0.45">
      <c r="A46" s="28">
        <v>18</v>
      </c>
      <c r="B46" s="3" t="s">
        <v>184</v>
      </c>
      <c r="C46" s="52">
        <v>0.76923076923230804</v>
      </c>
      <c r="D46" s="52">
        <v>-0.23076923076769201</v>
      </c>
      <c r="E46" s="52">
        <v>0.93382352941323499</v>
      </c>
      <c r="F46" s="52">
        <v>6.6176470586764694E-2</v>
      </c>
      <c r="G46" s="52">
        <v>0.67647058822941197</v>
      </c>
      <c r="H46" s="52">
        <v>0.32352941177058803</v>
      </c>
      <c r="I46" s="53"/>
      <c r="J46" s="52">
        <v>0.74185846153769197</v>
      </c>
      <c r="K46" s="52">
        <v>-0.25814153846230797</v>
      </c>
      <c r="L46" s="52">
        <v>0.83208268382426498</v>
      </c>
      <c r="M46" s="52">
        <v>0.16791731617573499</v>
      </c>
      <c r="N46" s="52">
        <v>0.76869941176274503</v>
      </c>
      <c r="O46" s="52">
        <v>0.23130058823725499</v>
      </c>
      <c r="P46" s="53"/>
      <c r="Q46" s="52">
        <v>0.984615384615385</v>
      </c>
      <c r="R46" s="52">
        <v>1.5384615384615399E-2</v>
      </c>
      <c r="S46" s="52">
        <v>0.90441176470588203</v>
      </c>
      <c r="T46" s="52">
        <v>9.5588235294117696E-2</v>
      </c>
      <c r="U46" s="52">
        <v>0.49019607843137297</v>
      </c>
      <c r="V46" s="52">
        <v>0.50980392156862697</v>
      </c>
    </row>
    <row r="47" spans="1:22" x14ac:dyDescent="0.45">
      <c r="A47" s="28">
        <v>19</v>
      </c>
      <c r="B47" s="3" t="s">
        <v>7</v>
      </c>
      <c r="C47" s="52">
        <v>0</v>
      </c>
      <c r="D47" s="52">
        <v>1.3495702005730701</v>
      </c>
      <c r="E47" s="52">
        <v>0</v>
      </c>
      <c r="F47" s="52">
        <v>1.1354385964912601</v>
      </c>
      <c r="G47" s="52">
        <v>0.16639299397920099</v>
      </c>
      <c r="H47" s="52">
        <v>0.83360700602079896</v>
      </c>
      <c r="I47" s="53"/>
      <c r="J47" s="52">
        <v>0</v>
      </c>
      <c r="K47" s="52">
        <v>2.43839541547284</v>
      </c>
      <c r="L47" s="52">
        <v>0</v>
      </c>
      <c r="M47" s="52">
        <v>1.87717833228077</v>
      </c>
      <c r="N47" s="52">
        <v>0</v>
      </c>
      <c r="O47" s="52">
        <v>1.54291319731795</v>
      </c>
      <c r="P47" s="53"/>
      <c r="Q47" s="52">
        <v>0.62865329512905399</v>
      </c>
      <c r="R47" s="52">
        <v>0.37134670487094601</v>
      </c>
      <c r="S47" s="52">
        <v>0.683859649122737</v>
      </c>
      <c r="T47" s="52">
        <v>0.316140350877263</v>
      </c>
      <c r="U47" s="52">
        <v>0.953749315818336</v>
      </c>
      <c r="V47" s="52">
        <v>-4.6250684181663997E-2</v>
      </c>
    </row>
    <row r="48" spans="1:22" x14ac:dyDescent="0.45">
      <c r="A48" s="28">
        <v>20</v>
      </c>
      <c r="B48" s="3" t="s">
        <v>187</v>
      </c>
      <c r="C48" s="52">
        <v>0.465337132003799</v>
      </c>
      <c r="D48" s="52">
        <v>0.534662867996201</v>
      </c>
      <c r="E48" s="52">
        <v>0.99848101265853195</v>
      </c>
      <c r="F48" s="52">
        <v>-1.51898734146833E-3</v>
      </c>
      <c r="G48" s="52">
        <v>0.71771217712189395</v>
      </c>
      <c r="H48" s="52">
        <v>-0.282287822878106</v>
      </c>
      <c r="I48" s="53"/>
      <c r="J48" s="52">
        <v>0</v>
      </c>
      <c r="K48" s="52">
        <v>-1</v>
      </c>
      <c r="L48" s="52">
        <v>0</v>
      </c>
      <c r="M48" s="52">
        <v>-1</v>
      </c>
      <c r="N48" s="52">
        <v>0</v>
      </c>
      <c r="O48" s="52">
        <v>-1</v>
      </c>
      <c r="P48" s="53"/>
      <c r="Q48" s="52">
        <v>0.69040835707492898</v>
      </c>
      <c r="R48" s="52">
        <v>0.30959164292507102</v>
      </c>
      <c r="S48" s="52">
        <v>0.95645569620273396</v>
      </c>
      <c r="T48" s="52">
        <v>-4.3544303797265899E-2</v>
      </c>
      <c r="U48" s="52">
        <v>0.210947109471218</v>
      </c>
      <c r="V48" s="52">
        <v>0.78905289052878202</v>
      </c>
    </row>
  </sheetData>
  <mergeCells count="20">
    <mergeCell ref="N27:O27"/>
    <mergeCell ref="Q27:R27"/>
    <mergeCell ref="S27:T27"/>
    <mergeCell ref="U27:V27"/>
    <mergeCell ref="A26:A28"/>
    <mergeCell ref="B26:B28"/>
    <mergeCell ref="C26:H26"/>
    <mergeCell ref="J26:O26"/>
    <mergeCell ref="Q26:V26"/>
    <mergeCell ref="C27:D27"/>
    <mergeCell ref="E27:F27"/>
    <mergeCell ref="G27:H27"/>
    <mergeCell ref="J27:K27"/>
    <mergeCell ref="L27:M27"/>
    <mergeCell ref="A1:A3"/>
    <mergeCell ref="B1:B3"/>
    <mergeCell ref="C1:C3"/>
    <mergeCell ref="D1:O2"/>
    <mergeCell ref="P1:S1"/>
    <mergeCell ref="P3:S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F161-89F3-45DB-9375-EDD0BF64A3DB}">
  <sheetPr>
    <tabColor theme="9" tint="0.59999389629810485"/>
  </sheetPr>
  <dimension ref="A1:Z22"/>
  <sheetViews>
    <sheetView workbookViewId="0">
      <pane xSplit="2" ySplit="2" topLeftCell="C3" activePane="bottomRight" state="frozen"/>
      <selection activeCell="C1" sqref="C1:C3"/>
      <selection pane="topRight" activeCell="C1" sqref="C1:C3"/>
      <selection pane="bottomLeft" activeCell="C1" sqref="C1:C3"/>
      <selection pane="bottomRight" sqref="A1:A2"/>
    </sheetView>
  </sheetViews>
  <sheetFormatPr defaultRowHeight="14.25" x14ac:dyDescent="0.45"/>
  <cols>
    <col min="2" max="2" width="47.46484375" customWidth="1"/>
    <col min="3" max="10" width="9.53125" bestFit="1" customWidth="1"/>
  </cols>
  <sheetData>
    <row r="1" spans="1:26" x14ac:dyDescent="0.45">
      <c r="A1" s="83" t="s">
        <v>87</v>
      </c>
      <c r="B1" s="84" t="s">
        <v>10</v>
      </c>
      <c r="C1" s="85" t="s">
        <v>11</v>
      </c>
      <c r="D1" s="85"/>
      <c r="E1" s="85"/>
      <c r="F1" s="85"/>
      <c r="G1" s="85"/>
      <c r="H1" s="85"/>
      <c r="I1" s="85"/>
      <c r="J1" s="85"/>
      <c r="K1" s="86" t="s">
        <v>12</v>
      </c>
      <c r="L1" s="86"/>
      <c r="M1" s="86"/>
      <c r="N1" s="86"/>
      <c r="O1" s="86"/>
      <c r="P1" s="86"/>
      <c r="Q1" s="86"/>
      <c r="R1" s="86"/>
      <c r="S1" s="87" t="s">
        <v>13</v>
      </c>
      <c r="T1" s="87"/>
      <c r="U1" s="87"/>
      <c r="V1" s="87"/>
      <c r="W1" s="87"/>
      <c r="X1" s="87"/>
      <c r="Y1" s="87"/>
      <c r="Z1" s="87"/>
    </row>
    <row r="2" spans="1:26" x14ac:dyDescent="0.45">
      <c r="A2" s="83"/>
      <c r="B2" s="84"/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10" t="s">
        <v>14</v>
      </c>
      <c r="T2" s="10" t="s">
        <v>15</v>
      </c>
      <c r="U2" s="10" t="s">
        <v>16</v>
      </c>
      <c r="V2" s="10" t="s">
        <v>17</v>
      </c>
      <c r="W2" s="10" t="s">
        <v>18</v>
      </c>
      <c r="X2" s="10" t="s">
        <v>19</v>
      </c>
      <c r="Y2" s="10" t="s">
        <v>20</v>
      </c>
      <c r="Z2" s="10" t="s">
        <v>21</v>
      </c>
    </row>
    <row r="3" spans="1:26" x14ac:dyDescent="0.45">
      <c r="A3" s="6">
        <v>1</v>
      </c>
      <c r="B3" s="3" t="s">
        <v>6</v>
      </c>
      <c r="C3" s="3">
        <v>6651</v>
      </c>
      <c r="D3" s="3">
        <v>6547</v>
      </c>
      <c r="E3" s="3">
        <v>5352</v>
      </c>
      <c r="F3" s="3">
        <v>3821</v>
      </c>
      <c r="G3" s="3">
        <v>8293</v>
      </c>
      <c r="H3" s="3">
        <v>3838</v>
      </c>
      <c r="I3" s="3">
        <v>3643</v>
      </c>
      <c r="J3" s="3">
        <v>3181</v>
      </c>
      <c r="K3" s="3">
        <v>1175</v>
      </c>
      <c r="L3" s="3">
        <v>1297</v>
      </c>
      <c r="M3" s="3">
        <v>0</v>
      </c>
      <c r="N3" s="3">
        <v>333</v>
      </c>
      <c r="O3" s="3">
        <v>3232</v>
      </c>
      <c r="P3" s="3">
        <v>0</v>
      </c>
      <c r="Q3" s="3">
        <v>550</v>
      </c>
      <c r="R3" s="3">
        <v>1329</v>
      </c>
      <c r="S3" s="11">
        <v>5476</v>
      </c>
      <c r="T3" s="11">
        <v>5250</v>
      </c>
      <c r="U3" s="11">
        <v>5352</v>
      </c>
      <c r="V3" s="11">
        <v>3488</v>
      </c>
      <c r="W3" s="11">
        <v>5061</v>
      </c>
      <c r="X3" s="11">
        <v>3838</v>
      </c>
      <c r="Y3" s="11">
        <v>3093</v>
      </c>
      <c r="Z3" s="11">
        <v>1852</v>
      </c>
    </row>
    <row r="4" spans="1:26" x14ac:dyDescent="0.45">
      <c r="A4" s="6">
        <v>2</v>
      </c>
      <c r="B4" s="3" t="s">
        <v>159</v>
      </c>
      <c r="C4" s="3">
        <v>227</v>
      </c>
      <c r="D4" s="3">
        <v>379</v>
      </c>
      <c r="E4" s="3">
        <v>1152</v>
      </c>
      <c r="F4" s="3">
        <v>3587</v>
      </c>
      <c r="G4" s="3">
        <v>4290</v>
      </c>
      <c r="H4" s="3">
        <v>5213</v>
      </c>
      <c r="I4" s="3">
        <v>4090</v>
      </c>
      <c r="J4" s="3">
        <v>5815</v>
      </c>
      <c r="K4" s="3">
        <v>104</v>
      </c>
      <c r="L4" s="3">
        <v>0</v>
      </c>
      <c r="M4" s="3">
        <v>0</v>
      </c>
      <c r="N4" s="3">
        <v>0</v>
      </c>
      <c r="O4" s="3">
        <v>400</v>
      </c>
      <c r="P4" s="3">
        <v>0</v>
      </c>
      <c r="Q4" s="3">
        <v>313</v>
      </c>
      <c r="R4" s="3">
        <v>661</v>
      </c>
      <c r="S4" s="11">
        <v>123</v>
      </c>
      <c r="T4" s="11">
        <v>379</v>
      </c>
      <c r="U4" s="11">
        <v>1152</v>
      </c>
      <c r="V4" s="11">
        <v>3587</v>
      </c>
      <c r="W4" s="11">
        <v>3890</v>
      </c>
      <c r="X4" s="11">
        <v>5213</v>
      </c>
      <c r="Y4" s="11">
        <v>3777</v>
      </c>
      <c r="Z4" s="11">
        <v>5154</v>
      </c>
    </row>
    <row r="5" spans="1:26" x14ac:dyDescent="0.45">
      <c r="A5" s="28">
        <v>3</v>
      </c>
      <c r="B5" s="3" t="s">
        <v>161</v>
      </c>
      <c r="C5" s="3">
        <v>1289</v>
      </c>
      <c r="D5" s="3">
        <v>4594</v>
      </c>
      <c r="E5" s="3">
        <v>5668</v>
      </c>
      <c r="F5" s="3">
        <v>2218</v>
      </c>
      <c r="G5" s="3">
        <v>4056</v>
      </c>
      <c r="H5" s="3">
        <v>6408</v>
      </c>
      <c r="I5" s="3">
        <v>6725</v>
      </c>
      <c r="J5" s="3">
        <v>3854</v>
      </c>
      <c r="K5" s="3">
        <v>0</v>
      </c>
      <c r="L5" s="3">
        <v>0</v>
      </c>
      <c r="M5" s="3">
        <v>3982</v>
      </c>
      <c r="N5" s="3">
        <v>0</v>
      </c>
      <c r="O5" s="3">
        <v>0</v>
      </c>
      <c r="P5" s="3">
        <v>2170</v>
      </c>
      <c r="Q5" s="3">
        <v>0</v>
      </c>
      <c r="R5" s="3">
        <v>0</v>
      </c>
      <c r="S5" s="11">
        <v>1289</v>
      </c>
      <c r="T5" s="11">
        <v>4594</v>
      </c>
      <c r="U5" s="11">
        <v>1686</v>
      </c>
      <c r="V5" s="11">
        <v>2218</v>
      </c>
      <c r="W5" s="11">
        <v>4056</v>
      </c>
      <c r="X5" s="11">
        <v>4238</v>
      </c>
      <c r="Y5" s="11">
        <v>6725</v>
      </c>
      <c r="Z5" s="11">
        <v>3854</v>
      </c>
    </row>
    <row r="6" spans="1:26" x14ac:dyDescent="0.45">
      <c r="A6" s="28">
        <v>4</v>
      </c>
      <c r="B6" s="3" t="s">
        <v>190</v>
      </c>
      <c r="C6" s="3">
        <v>14391</v>
      </c>
      <c r="D6" s="3">
        <v>19106</v>
      </c>
      <c r="E6" s="3">
        <v>21593</v>
      </c>
      <c r="F6" s="3">
        <v>26857</v>
      </c>
      <c r="G6" s="3">
        <v>19180</v>
      </c>
      <c r="H6" s="3">
        <v>22017</v>
      </c>
      <c r="I6" s="3">
        <v>23154</v>
      </c>
      <c r="J6" s="3">
        <v>11659</v>
      </c>
      <c r="K6" s="3">
        <v>0</v>
      </c>
      <c r="L6" s="3">
        <v>3180</v>
      </c>
      <c r="M6" s="3">
        <v>0</v>
      </c>
      <c r="N6" s="3">
        <v>7849</v>
      </c>
      <c r="O6" s="3">
        <v>1811</v>
      </c>
      <c r="P6" s="3">
        <v>1850</v>
      </c>
      <c r="Q6" s="3">
        <v>6816</v>
      </c>
      <c r="R6" s="3">
        <v>0</v>
      </c>
      <c r="S6" s="11">
        <v>14391</v>
      </c>
      <c r="T6" s="11">
        <v>15926</v>
      </c>
      <c r="U6" s="11">
        <v>21593</v>
      </c>
      <c r="V6" s="11">
        <v>19008</v>
      </c>
      <c r="W6" s="11">
        <v>17369</v>
      </c>
      <c r="X6" s="11">
        <v>20167</v>
      </c>
      <c r="Y6" s="11">
        <v>16338</v>
      </c>
      <c r="Z6" s="11">
        <v>11659</v>
      </c>
    </row>
    <row r="7" spans="1:26" x14ac:dyDescent="0.45">
      <c r="A7" s="28">
        <v>5</v>
      </c>
      <c r="B7" s="3" t="s">
        <v>8</v>
      </c>
      <c r="C7" s="3">
        <v>449</v>
      </c>
      <c r="D7" s="3">
        <v>244</v>
      </c>
      <c r="E7" s="3">
        <v>775</v>
      </c>
      <c r="F7" s="3">
        <v>1153</v>
      </c>
      <c r="G7" s="3">
        <v>1368</v>
      </c>
      <c r="H7" s="3">
        <v>1805</v>
      </c>
      <c r="I7" s="3">
        <v>1457</v>
      </c>
      <c r="J7" s="3">
        <v>1102</v>
      </c>
      <c r="K7" s="3">
        <v>200</v>
      </c>
      <c r="L7" s="3">
        <v>0</v>
      </c>
      <c r="M7" s="3">
        <v>155</v>
      </c>
      <c r="N7" s="3">
        <v>293</v>
      </c>
      <c r="O7" s="3">
        <v>0</v>
      </c>
      <c r="P7" s="3">
        <v>0</v>
      </c>
      <c r="Q7" s="3">
        <v>260</v>
      </c>
      <c r="R7" s="3">
        <v>0</v>
      </c>
      <c r="S7" s="11">
        <v>249</v>
      </c>
      <c r="T7" s="11">
        <v>244</v>
      </c>
      <c r="U7" s="11">
        <v>620</v>
      </c>
      <c r="V7" s="11">
        <v>860</v>
      </c>
      <c r="W7" s="11">
        <v>1368</v>
      </c>
      <c r="X7" s="11">
        <v>1805</v>
      </c>
      <c r="Y7" s="11">
        <v>1197</v>
      </c>
      <c r="Z7" s="11">
        <v>1102</v>
      </c>
    </row>
    <row r="8" spans="1:26" x14ac:dyDescent="0.45">
      <c r="A8" s="28">
        <v>6</v>
      </c>
      <c r="B8" s="3" t="s">
        <v>9</v>
      </c>
      <c r="C8" s="3">
        <v>1480</v>
      </c>
      <c r="D8" s="3">
        <v>337</v>
      </c>
      <c r="E8" s="3">
        <v>735</v>
      </c>
      <c r="F8" s="3">
        <v>913</v>
      </c>
      <c r="G8" s="3">
        <v>963</v>
      </c>
      <c r="H8" s="3">
        <v>648</v>
      </c>
      <c r="I8" s="3">
        <v>1482</v>
      </c>
      <c r="J8" s="3">
        <v>725</v>
      </c>
      <c r="K8" s="3">
        <v>1257</v>
      </c>
      <c r="L8" s="3">
        <v>0</v>
      </c>
      <c r="M8" s="3">
        <v>382</v>
      </c>
      <c r="N8" s="3">
        <v>0</v>
      </c>
      <c r="O8" s="3">
        <v>200</v>
      </c>
      <c r="P8" s="3">
        <v>0</v>
      </c>
      <c r="Q8" s="3">
        <v>0</v>
      </c>
      <c r="R8" s="3">
        <v>0</v>
      </c>
      <c r="S8" s="11">
        <v>223</v>
      </c>
      <c r="T8" s="11">
        <v>337</v>
      </c>
      <c r="U8" s="11">
        <v>353</v>
      </c>
      <c r="V8" s="11">
        <v>913</v>
      </c>
      <c r="W8" s="11">
        <v>763</v>
      </c>
      <c r="X8" s="11">
        <v>648</v>
      </c>
      <c r="Y8" s="11">
        <v>1482</v>
      </c>
      <c r="Z8" s="11">
        <v>725</v>
      </c>
    </row>
    <row r="9" spans="1:26" x14ac:dyDescent="0.45">
      <c r="A9" s="28">
        <v>7</v>
      </c>
      <c r="B9" s="3" t="s">
        <v>166</v>
      </c>
      <c r="C9" s="3">
        <v>552</v>
      </c>
      <c r="D9" s="3">
        <v>371</v>
      </c>
      <c r="E9" s="3">
        <v>532</v>
      </c>
      <c r="F9" s="3">
        <v>506</v>
      </c>
      <c r="G9" s="3">
        <v>483</v>
      </c>
      <c r="H9" s="3">
        <v>681</v>
      </c>
      <c r="I9" s="3">
        <v>783</v>
      </c>
      <c r="J9" s="3">
        <v>802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257</v>
      </c>
      <c r="S9" s="11">
        <v>552</v>
      </c>
      <c r="T9" s="11">
        <v>371</v>
      </c>
      <c r="U9" s="11">
        <v>532</v>
      </c>
      <c r="V9" s="11">
        <v>506</v>
      </c>
      <c r="W9" s="11">
        <v>483</v>
      </c>
      <c r="X9" s="11">
        <v>681</v>
      </c>
      <c r="Y9" s="11">
        <v>783</v>
      </c>
      <c r="Z9" s="11">
        <v>545</v>
      </c>
    </row>
    <row r="10" spans="1:26" x14ac:dyDescent="0.45">
      <c r="A10" s="28">
        <v>8</v>
      </c>
      <c r="B10" s="3" t="s">
        <v>168</v>
      </c>
      <c r="C10" s="3">
        <v>12867</v>
      </c>
      <c r="D10" s="3">
        <v>8857</v>
      </c>
      <c r="E10" s="3">
        <v>11844</v>
      </c>
      <c r="F10" s="3">
        <v>18237</v>
      </c>
      <c r="G10" s="3">
        <v>5044</v>
      </c>
      <c r="H10" s="3">
        <v>7872</v>
      </c>
      <c r="I10" s="3">
        <v>6274</v>
      </c>
      <c r="J10" s="3">
        <v>6159</v>
      </c>
      <c r="K10" s="3">
        <v>0</v>
      </c>
      <c r="L10" s="3">
        <v>1888</v>
      </c>
      <c r="M10" s="3">
        <v>2700</v>
      </c>
      <c r="N10" s="3">
        <v>6000</v>
      </c>
      <c r="O10" s="3">
        <v>847</v>
      </c>
      <c r="P10" s="3">
        <v>1700</v>
      </c>
      <c r="Q10" s="3">
        <v>805</v>
      </c>
      <c r="R10" s="3">
        <v>1600</v>
      </c>
      <c r="S10" s="11">
        <v>12867</v>
      </c>
      <c r="T10" s="11">
        <v>6969</v>
      </c>
      <c r="U10" s="11">
        <v>9144</v>
      </c>
      <c r="V10" s="11">
        <v>12237</v>
      </c>
      <c r="W10" s="11">
        <v>4197</v>
      </c>
      <c r="X10" s="11">
        <v>6172</v>
      </c>
      <c r="Y10" s="11">
        <v>5469</v>
      </c>
      <c r="Z10" s="11">
        <v>4559</v>
      </c>
    </row>
    <row r="11" spans="1:26" x14ac:dyDescent="0.45">
      <c r="A11" s="28">
        <v>9</v>
      </c>
      <c r="B11" s="3" t="s">
        <v>191</v>
      </c>
      <c r="C11" s="3">
        <v>6184</v>
      </c>
      <c r="D11" s="3">
        <v>33072</v>
      </c>
      <c r="E11" s="3">
        <v>13035</v>
      </c>
      <c r="F11" s="3">
        <v>13043</v>
      </c>
      <c r="G11" s="3">
        <v>7891</v>
      </c>
      <c r="H11" s="3">
        <v>30064</v>
      </c>
      <c r="I11" s="3">
        <v>14082</v>
      </c>
      <c r="J11" s="3">
        <v>6871</v>
      </c>
      <c r="K11" s="3">
        <v>0</v>
      </c>
      <c r="L11" s="3">
        <v>22695</v>
      </c>
      <c r="M11" s="3">
        <v>1600</v>
      </c>
      <c r="N11" s="3">
        <v>3188</v>
      </c>
      <c r="O11" s="3">
        <v>2490</v>
      </c>
      <c r="P11" s="3">
        <v>19000</v>
      </c>
      <c r="Q11" s="3">
        <v>1800</v>
      </c>
      <c r="R11" s="3">
        <v>2100</v>
      </c>
      <c r="S11" s="11">
        <v>6184</v>
      </c>
      <c r="T11" s="11">
        <v>10377</v>
      </c>
      <c r="U11" s="11">
        <v>11435</v>
      </c>
      <c r="V11" s="11">
        <v>9855</v>
      </c>
      <c r="W11" s="11">
        <v>5401</v>
      </c>
      <c r="X11" s="11">
        <v>11064</v>
      </c>
      <c r="Y11" s="11">
        <v>12282</v>
      </c>
      <c r="Z11" s="11">
        <v>4771</v>
      </c>
    </row>
    <row r="12" spans="1:26" x14ac:dyDescent="0.45">
      <c r="A12" s="28">
        <v>10</v>
      </c>
      <c r="B12" s="3" t="s">
        <v>192</v>
      </c>
      <c r="C12" s="3">
        <v>13205</v>
      </c>
      <c r="D12" s="3">
        <v>12588</v>
      </c>
      <c r="E12" s="3">
        <v>17315</v>
      </c>
      <c r="F12" s="3">
        <v>16472</v>
      </c>
      <c r="G12" s="3">
        <v>8562</v>
      </c>
      <c r="H12" s="3">
        <v>16994</v>
      </c>
      <c r="I12" s="3">
        <v>8789</v>
      </c>
      <c r="J12" s="3">
        <v>7744</v>
      </c>
      <c r="K12" s="3">
        <v>7878</v>
      </c>
      <c r="L12" s="3">
        <v>7255</v>
      </c>
      <c r="M12" s="3">
        <v>4673</v>
      </c>
      <c r="N12" s="3">
        <v>9262</v>
      </c>
      <c r="O12" s="3">
        <v>4628</v>
      </c>
      <c r="P12" s="3">
        <v>8735</v>
      </c>
      <c r="Q12" s="3">
        <v>3432</v>
      </c>
      <c r="R12" s="3">
        <v>3634</v>
      </c>
      <c r="S12" s="11">
        <v>5327</v>
      </c>
      <c r="T12" s="11">
        <v>5333</v>
      </c>
      <c r="U12" s="11">
        <v>12642</v>
      </c>
      <c r="V12" s="11">
        <v>7210</v>
      </c>
      <c r="W12" s="11">
        <v>3934</v>
      </c>
      <c r="X12" s="11">
        <v>8259</v>
      </c>
      <c r="Y12" s="11">
        <v>5357</v>
      </c>
      <c r="Z12" s="11">
        <v>4110</v>
      </c>
    </row>
    <row r="13" spans="1:26" x14ac:dyDescent="0.45">
      <c r="A13" s="28">
        <v>11</v>
      </c>
      <c r="B13" s="3" t="s">
        <v>172</v>
      </c>
      <c r="C13" s="3">
        <v>376</v>
      </c>
      <c r="D13" s="3">
        <v>376</v>
      </c>
      <c r="E13" s="3">
        <v>931</v>
      </c>
      <c r="F13" s="3">
        <v>1061</v>
      </c>
      <c r="G13" s="3">
        <v>462</v>
      </c>
      <c r="H13" s="3">
        <v>1111</v>
      </c>
      <c r="I13" s="3">
        <v>1997</v>
      </c>
      <c r="J13" s="3">
        <v>671</v>
      </c>
      <c r="K13" s="3">
        <v>0</v>
      </c>
      <c r="L13" s="3">
        <v>74</v>
      </c>
      <c r="M13" s="3">
        <v>0</v>
      </c>
      <c r="N13" s="3">
        <v>408</v>
      </c>
      <c r="O13" s="3">
        <v>280</v>
      </c>
      <c r="P13" s="3">
        <v>0</v>
      </c>
      <c r="Q13" s="3">
        <v>717</v>
      </c>
      <c r="R13" s="3">
        <v>0</v>
      </c>
      <c r="S13" s="11">
        <v>376</v>
      </c>
      <c r="T13" s="11">
        <v>302</v>
      </c>
      <c r="U13" s="11">
        <v>931</v>
      </c>
      <c r="V13" s="11">
        <v>653</v>
      </c>
      <c r="W13" s="11">
        <v>182</v>
      </c>
      <c r="X13" s="11">
        <v>1111</v>
      </c>
      <c r="Y13" s="11">
        <v>1280</v>
      </c>
      <c r="Z13" s="11">
        <v>671</v>
      </c>
    </row>
    <row r="14" spans="1:26" x14ac:dyDescent="0.45">
      <c r="A14" s="28">
        <v>12</v>
      </c>
      <c r="B14" s="3" t="s">
        <v>174</v>
      </c>
      <c r="C14" s="3">
        <v>1062</v>
      </c>
      <c r="D14" s="3">
        <v>1486</v>
      </c>
      <c r="E14" s="3">
        <v>1458</v>
      </c>
      <c r="F14" s="3">
        <v>1331</v>
      </c>
      <c r="G14" s="3">
        <v>1594</v>
      </c>
      <c r="H14" s="3">
        <v>1190</v>
      </c>
      <c r="I14" s="3">
        <v>2413</v>
      </c>
      <c r="J14" s="3">
        <v>1329</v>
      </c>
      <c r="K14" s="3">
        <v>200</v>
      </c>
      <c r="L14" s="3">
        <v>0</v>
      </c>
      <c r="M14" s="3">
        <v>0</v>
      </c>
      <c r="N14" s="3">
        <v>278</v>
      </c>
      <c r="O14" s="3">
        <v>822</v>
      </c>
      <c r="P14" s="3">
        <v>250</v>
      </c>
      <c r="Q14" s="3">
        <v>1014</v>
      </c>
      <c r="R14" s="3">
        <v>504</v>
      </c>
      <c r="S14" s="11">
        <v>862</v>
      </c>
      <c r="T14" s="11">
        <v>1486</v>
      </c>
      <c r="U14" s="11">
        <v>1458</v>
      </c>
      <c r="V14" s="11">
        <v>1053</v>
      </c>
      <c r="W14" s="11">
        <v>772</v>
      </c>
      <c r="X14" s="11">
        <v>940</v>
      </c>
      <c r="Y14" s="11">
        <v>1399</v>
      </c>
      <c r="Z14" s="11">
        <v>825</v>
      </c>
    </row>
    <row r="15" spans="1:26" x14ac:dyDescent="0.45">
      <c r="A15" s="28">
        <v>13</v>
      </c>
      <c r="B15" s="3" t="s">
        <v>176</v>
      </c>
      <c r="C15" s="3">
        <v>367</v>
      </c>
      <c r="D15" s="3">
        <v>475</v>
      </c>
      <c r="E15" s="3">
        <v>392</v>
      </c>
      <c r="F15" s="3">
        <v>242</v>
      </c>
      <c r="G15" s="3">
        <v>341</v>
      </c>
      <c r="H15" s="3">
        <v>313</v>
      </c>
      <c r="I15" s="3">
        <v>448</v>
      </c>
      <c r="J15" s="3">
        <v>335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11">
        <v>367</v>
      </c>
      <c r="T15" s="11">
        <v>475</v>
      </c>
      <c r="U15" s="11">
        <v>392</v>
      </c>
      <c r="V15" s="11">
        <v>242</v>
      </c>
      <c r="W15" s="11">
        <v>341</v>
      </c>
      <c r="X15" s="11">
        <v>313</v>
      </c>
      <c r="Y15" s="11">
        <v>448</v>
      </c>
      <c r="Z15" s="11">
        <v>335</v>
      </c>
    </row>
    <row r="16" spans="1:26" x14ac:dyDescent="0.45">
      <c r="A16" s="28">
        <v>14</v>
      </c>
      <c r="B16" s="3" t="s">
        <v>178</v>
      </c>
      <c r="C16" s="3">
        <v>246</v>
      </c>
      <c r="D16" s="3">
        <v>315</v>
      </c>
      <c r="E16" s="3">
        <v>1564</v>
      </c>
      <c r="F16" s="3">
        <v>3637</v>
      </c>
      <c r="G16" s="3">
        <v>10291</v>
      </c>
      <c r="H16" s="3">
        <v>18436</v>
      </c>
      <c r="I16" s="3">
        <v>6482</v>
      </c>
      <c r="J16" s="3">
        <v>6327</v>
      </c>
      <c r="K16" s="3">
        <v>114</v>
      </c>
      <c r="L16" s="3">
        <v>0</v>
      </c>
      <c r="M16" s="3">
        <v>0</v>
      </c>
      <c r="N16" s="3">
        <v>711</v>
      </c>
      <c r="O16" s="3">
        <v>4200</v>
      </c>
      <c r="P16" s="3">
        <v>11327</v>
      </c>
      <c r="Q16" s="3">
        <v>400</v>
      </c>
      <c r="R16" s="3">
        <v>490</v>
      </c>
      <c r="S16" s="11">
        <v>132</v>
      </c>
      <c r="T16" s="11">
        <v>315</v>
      </c>
      <c r="U16" s="11">
        <v>1564</v>
      </c>
      <c r="V16" s="11">
        <v>2926</v>
      </c>
      <c r="W16" s="11">
        <v>6091</v>
      </c>
      <c r="X16" s="11">
        <v>7109</v>
      </c>
      <c r="Y16" s="11">
        <v>6082</v>
      </c>
      <c r="Z16" s="11">
        <v>5837</v>
      </c>
    </row>
    <row r="17" spans="1:26" x14ac:dyDescent="0.45">
      <c r="A17" s="28">
        <v>15</v>
      </c>
      <c r="B17" s="3" t="s">
        <v>51</v>
      </c>
      <c r="C17" s="3">
        <v>1116</v>
      </c>
      <c r="D17" s="3">
        <v>1313</v>
      </c>
      <c r="E17" s="3">
        <v>1072</v>
      </c>
      <c r="F17" s="3">
        <v>862</v>
      </c>
      <c r="G17" s="3">
        <v>748</v>
      </c>
      <c r="H17" s="3">
        <v>676</v>
      </c>
      <c r="I17" s="3">
        <v>888</v>
      </c>
      <c r="J17" s="3">
        <v>603</v>
      </c>
      <c r="K17" s="3">
        <v>249</v>
      </c>
      <c r="L17" s="3">
        <v>394</v>
      </c>
      <c r="M17" s="3">
        <v>0</v>
      </c>
      <c r="N17" s="3">
        <v>0</v>
      </c>
      <c r="O17" s="3">
        <v>80</v>
      </c>
      <c r="P17" s="3">
        <v>0</v>
      </c>
      <c r="Q17" s="3">
        <v>0</v>
      </c>
      <c r="R17" s="3">
        <v>50</v>
      </c>
      <c r="S17" s="11">
        <v>867</v>
      </c>
      <c r="T17" s="11">
        <v>919</v>
      </c>
      <c r="U17" s="11">
        <v>1072</v>
      </c>
      <c r="V17" s="11">
        <v>862</v>
      </c>
      <c r="W17" s="11">
        <v>668</v>
      </c>
      <c r="X17" s="11">
        <v>676</v>
      </c>
      <c r="Y17" s="11">
        <v>888</v>
      </c>
      <c r="Z17" s="11">
        <v>553</v>
      </c>
    </row>
    <row r="18" spans="1:26" x14ac:dyDescent="0.45">
      <c r="A18" s="28">
        <v>16</v>
      </c>
      <c r="B18" s="3" t="s">
        <v>52</v>
      </c>
      <c r="C18" s="3">
        <v>512</v>
      </c>
      <c r="D18" s="3">
        <v>518</v>
      </c>
      <c r="E18" s="3">
        <v>540</v>
      </c>
      <c r="F18" s="3">
        <v>603</v>
      </c>
      <c r="G18" s="3">
        <v>659</v>
      </c>
      <c r="H18" s="3">
        <v>556</v>
      </c>
      <c r="I18" s="3">
        <v>658</v>
      </c>
      <c r="J18" s="3">
        <v>522</v>
      </c>
      <c r="K18" s="3">
        <v>0</v>
      </c>
      <c r="L18" s="3">
        <v>36</v>
      </c>
      <c r="M18" s="3">
        <v>72</v>
      </c>
      <c r="N18" s="3">
        <v>0</v>
      </c>
      <c r="O18" s="3">
        <v>0</v>
      </c>
      <c r="P18" s="3">
        <v>0</v>
      </c>
      <c r="Q18" s="3">
        <v>39</v>
      </c>
      <c r="R18" s="3">
        <v>0</v>
      </c>
      <c r="S18" s="11">
        <v>512</v>
      </c>
      <c r="T18" s="11">
        <v>482</v>
      </c>
      <c r="U18" s="11">
        <v>468</v>
      </c>
      <c r="V18" s="11">
        <v>603</v>
      </c>
      <c r="W18" s="11">
        <v>659</v>
      </c>
      <c r="X18" s="11">
        <v>556</v>
      </c>
      <c r="Y18" s="11">
        <v>619</v>
      </c>
      <c r="Z18" s="11">
        <v>522</v>
      </c>
    </row>
    <row r="19" spans="1:26" x14ac:dyDescent="0.45">
      <c r="A19" s="28">
        <v>17</v>
      </c>
      <c r="B19" s="3" t="s">
        <v>182</v>
      </c>
      <c r="C19" s="3">
        <v>182</v>
      </c>
      <c r="D19" s="3">
        <v>340</v>
      </c>
      <c r="E19" s="3">
        <v>633</v>
      </c>
      <c r="F19" s="3">
        <v>741</v>
      </c>
      <c r="G19" s="3">
        <v>900</v>
      </c>
      <c r="H19" s="3">
        <v>881</v>
      </c>
      <c r="I19" s="3">
        <v>982</v>
      </c>
      <c r="J19" s="3">
        <v>621</v>
      </c>
      <c r="K19" s="3">
        <v>93</v>
      </c>
      <c r="L19" s="3">
        <v>0</v>
      </c>
      <c r="M19" s="3">
        <v>285</v>
      </c>
      <c r="N19" s="3">
        <v>391</v>
      </c>
      <c r="O19" s="3">
        <v>204</v>
      </c>
      <c r="P19" s="3">
        <v>134</v>
      </c>
      <c r="Q19" s="3">
        <v>0</v>
      </c>
      <c r="R19" s="3">
        <v>0</v>
      </c>
      <c r="S19" s="11">
        <v>89</v>
      </c>
      <c r="T19" s="11">
        <v>340</v>
      </c>
      <c r="U19" s="11">
        <v>348</v>
      </c>
      <c r="V19" s="11">
        <v>350</v>
      </c>
      <c r="W19" s="11">
        <v>696</v>
      </c>
      <c r="X19" s="11">
        <v>747</v>
      </c>
      <c r="Y19" s="11">
        <v>982</v>
      </c>
      <c r="Z19" s="11">
        <v>621</v>
      </c>
    </row>
    <row r="20" spans="1:26" x14ac:dyDescent="0.45">
      <c r="A20" s="28">
        <v>18</v>
      </c>
      <c r="B20" s="3" t="s">
        <v>184</v>
      </c>
      <c r="C20" s="3">
        <v>93</v>
      </c>
      <c r="D20" s="3">
        <v>109</v>
      </c>
      <c r="E20" s="3">
        <v>190</v>
      </c>
      <c r="F20" s="3">
        <v>117</v>
      </c>
      <c r="G20" s="3">
        <v>167</v>
      </c>
      <c r="H20" s="3">
        <v>102</v>
      </c>
      <c r="I20" s="3">
        <v>136</v>
      </c>
      <c r="J20" s="3">
        <v>130</v>
      </c>
      <c r="K20" s="3">
        <v>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42</v>
      </c>
      <c r="S20" s="11">
        <v>85</v>
      </c>
      <c r="T20" s="11">
        <v>109</v>
      </c>
      <c r="U20" s="11">
        <v>190</v>
      </c>
      <c r="V20" s="11">
        <v>117</v>
      </c>
      <c r="W20" s="11">
        <v>167</v>
      </c>
      <c r="X20" s="11">
        <v>102</v>
      </c>
      <c r="Y20" s="11">
        <v>136</v>
      </c>
      <c r="Z20" s="11">
        <v>88</v>
      </c>
    </row>
    <row r="21" spans="1:26" x14ac:dyDescent="0.45">
      <c r="A21" s="28">
        <v>19</v>
      </c>
      <c r="B21" s="3" t="s">
        <v>7</v>
      </c>
      <c r="C21" s="3">
        <v>5272</v>
      </c>
      <c r="D21" s="3">
        <v>6085</v>
      </c>
      <c r="E21" s="3">
        <v>6761</v>
      </c>
      <c r="F21" s="3">
        <v>16697</v>
      </c>
      <c r="G21" s="3">
        <v>3718</v>
      </c>
      <c r="H21" s="3">
        <v>3654</v>
      </c>
      <c r="I21" s="3">
        <v>2850</v>
      </c>
      <c r="J21" s="3">
        <v>1745</v>
      </c>
      <c r="K21" s="3">
        <v>0</v>
      </c>
      <c r="L21" s="3">
        <v>1788</v>
      </c>
      <c r="M21" s="3">
        <v>0</v>
      </c>
      <c r="N21" s="3">
        <v>12549</v>
      </c>
      <c r="O21" s="3">
        <v>1200</v>
      </c>
      <c r="P21" s="3">
        <v>0</v>
      </c>
      <c r="Q21" s="3">
        <v>0</v>
      </c>
      <c r="R21" s="3">
        <v>0</v>
      </c>
      <c r="S21" s="11">
        <v>5272</v>
      </c>
      <c r="T21" s="11">
        <v>4297</v>
      </c>
      <c r="U21" s="11">
        <v>6761</v>
      </c>
      <c r="V21" s="11">
        <v>4148</v>
      </c>
      <c r="W21" s="11">
        <v>2518</v>
      </c>
      <c r="X21" s="11">
        <v>3654</v>
      </c>
      <c r="Y21" s="11">
        <v>2850</v>
      </c>
      <c r="Z21" s="11">
        <v>1745</v>
      </c>
    </row>
    <row r="22" spans="1:26" x14ac:dyDescent="0.45">
      <c r="A22" s="28">
        <v>20</v>
      </c>
      <c r="B22" s="3" t="s">
        <v>187</v>
      </c>
      <c r="C22" s="3">
        <v>1375</v>
      </c>
      <c r="D22" s="3">
        <v>2201</v>
      </c>
      <c r="E22" s="3">
        <v>822</v>
      </c>
      <c r="F22" s="3">
        <v>415</v>
      </c>
      <c r="G22" s="3">
        <v>1664</v>
      </c>
      <c r="H22" s="3">
        <v>1626</v>
      </c>
      <c r="I22" s="3">
        <v>1975</v>
      </c>
      <c r="J22" s="3">
        <v>1053</v>
      </c>
      <c r="K22" s="3">
        <v>150</v>
      </c>
      <c r="L22" s="3">
        <v>2490</v>
      </c>
      <c r="M22" s="3">
        <v>0</v>
      </c>
      <c r="N22" s="3">
        <v>335</v>
      </c>
      <c r="O22" s="3">
        <v>500</v>
      </c>
      <c r="P22" s="3">
        <v>1150</v>
      </c>
      <c r="Q22" s="3">
        <v>1687</v>
      </c>
      <c r="R22" s="3">
        <v>0</v>
      </c>
      <c r="S22" s="11">
        <v>1225</v>
      </c>
      <c r="T22" s="11">
        <v>-289</v>
      </c>
      <c r="U22" s="11">
        <v>822</v>
      </c>
      <c r="V22" s="11">
        <v>80</v>
      </c>
      <c r="W22" s="11">
        <v>1164</v>
      </c>
      <c r="X22" s="11">
        <v>476</v>
      </c>
      <c r="Y22" s="11">
        <v>288</v>
      </c>
      <c r="Z22" s="11">
        <v>1053</v>
      </c>
    </row>
  </sheetData>
  <mergeCells count="5">
    <mergeCell ref="A1:A2"/>
    <mergeCell ref="B1:B2"/>
    <mergeCell ref="C1:J1"/>
    <mergeCell ref="K1:R1"/>
    <mergeCell ref="S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6908-9C80-47B7-A392-CA836B2C9269}">
  <sheetPr>
    <tabColor theme="5" tint="0.59999389629810485"/>
  </sheetPr>
  <dimension ref="A1:P123"/>
  <sheetViews>
    <sheetView workbookViewId="0">
      <selection activeCell="B1" sqref="B1:B3"/>
    </sheetView>
  </sheetViews>
  <sheetFormatPr defaultRowHeight="14.25" x14ac:dyDescent="0.45"/>
  <cols>
    <col min="1" max="1" width="9.19921875" style="29"/>
    <col min="2" max="2" width="47" customWidth="1"/>
    <col min="3" max="3" width="22" customWidth="1"/>
  </cols>
  <sheetData>
    <row r="1" spans="1:16" ht="14.75" customHeight="1" x14ac:dyDescent="0.45">
      <c r="A1" s="88" t="s">
        <v>87</v>
      </c>
      <c r="B1" s="88" t="s">
        <v>22</v>
      </c>
      <c r="C1" s="88" t="s">
        <v>23</v>
      </c>
      <c r="D1" s="89" t="s">
        <v>155</v>
      </c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1:16" s="1" customFormat="1" x14ac:dyDescent="0.45">
      <c r="A2" s="88"/>
      <c r="B2" s="88"/>
      <c r="C2" s="88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</row>
    <row r="3" spans="1:16" x14ac:dyDescent="0.45">
      <c r="A3" s="88"/>
      <c r="B3" s="88"/>
      <c r="C3" s="88"/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14</v>
      </c>
      <c r="J3" s="8" t="s">
        <v>15</v>
      </c>
      <c r="K3" s="8" t="s">
        <v>16</v>
      </c>
      <c r="L3" s="8" t="s">
        <v>17</v>
      </c>
      <c r="M3" s="8" t="s">
        <v>18</v>
      </c>
      <c r="N3" s="8" t="s">
        <v>19</v>
      </c>
      <c r="O3" s="8" t="s">
        <v>20</v>
      </c>
      <c r="P3" s="8" t="s">
        <v>21</v>
      </c>
    </row>
    <row r="4" spans="1:16" x14ac:dyDescent="0.45">
      <c r="A4" s="54">
        <v>1</v>
      </c>
      <c r="B4" s="2" t="s">
        <v>6</v>
      </c>
      <c r="C4" s="2" t="s">
        <v>29</v>
      </c>
      <c r="D4" s="4">
        <v>1212.5</v>
      </c>
      <c r="E4" s="4">
        <v>1661</v>
      </c>
      <c r="F4" s="4">
        <v>890.5</v>
      </c>
      <c r="G4" s="4">
        <v>949.38340000000017</v>
      </c>
      <c r="H4" s="4">
        <v>463.2063</v>
      </c>
      <c r="I4" s="4">
        <v>1199</v>
      </c>
      <c r="J4" s="4">
        <v>916</v>
      </c>
      <c r="K4" s="4">
        <v>775.5</v>
      </c>
      <c r="L4" s="4">
        <v>649</v>
      </c>
      <c r="M4" s="4">
        <v>720</v>
      </c>
      <c r="N4" s="4">
        <v>611</v>
      </c>
      <c r="O4" s="4">
        <v>692.5</v>
      </c>
      <c r="P4" s="4">
        <v>1122</v>
      </c>
    </row>
    <row r="5" spans="1:16" x14ac:dyDescent="0.45">
      <c r="A5" s="54">
        <v>1</v>
      </c>
      <c r="B5" s="2" t="s">
        <v>6</v>
      </c>
      <c r="C5" s="2" t="s">
        <v>30</v>
      </c>
      <c r="D5" s="4">
        <v>1841</v>
      </c>
      <c r="E5" s="4">
        <v>3436</v>
      </c>
      <c r="F5" s="4">
        <v>3569.5</v>
      </c>
      <c r="G5" s="4">
        <v>3040.5</v>
      </c>
      <c r="H5" s="4">
        <v>1789</v>
      </c>
      <c r="I5" s="4">
        <v>1625</v>
      </c>
      <c r="J5" s="4">
        <v>2532</v>
      </c>
      <c r="K5" s="4">
        <v>1708</v>
      </c>
      <c r="L5" s="4">
        <v>895</v>
      </c>
      <c r="M5" s="4">
        <v>4765</v>
      </c>
      <c r="N5" s="4">
        <v>1060</v>
      </c>
      <c r="O5" s="4">
        <v>1318.5</v>
      </c>
      <c r="P5" s="4">
        <v>860</v>
      </c>
    </row>
    <row r="6" spans="1:16" x14ac:dyDescent="0.45">
      <c r="A6" s="54">
        <v>1</v>
      </c>
      <c r="B6" s="2" t="s">
        <v>6</v>
      </c>
      <c r="C6" s="2" t="s">
        <v>31</v>
      </c>
      <c r="D6" s="4">
        <v>1766</v>
      </c>
      <c r="E6" s="4">
        <v>-3517</v>
      </c>
      <c r="F6" s="4">
        <v>1748</v>
      </c>
      <c r="G6" s="4">
        <v>2828</v>
      </c>
      <c r="H6" s="4">
        <v>1223</v>
      </c>
      <c r="I6" s="4">
        <v>2064</v>
      </c>
      <c r="J6" s="4">
        <v>1700</v>
      </c>
      <c r="K6" s="4">
        <v>2116</v>
      </c>
      <c r="L6" s="4">
        <v>1773</v>
      </c>
      <c r="M6" s="4">
        <v>1454</v>
      </c>
      <c r="N6" s="4">
        <v>1654</v>
      </c>
      <c r="O6" s="4">
        <v>1323</v>
      </c>
      <c r="P6" s="4">
        <v>958</v>
      </c>
    </row>
    <row r="7" spans="1:16" x14ac:dyDescent="0.45">
      <c r="A7" s="54">
        <v>1</v>
      </c>
      <c r="B7" s="2" t="s">
        <v>6</v>
      </c>
      <c r="C7" s="2" t="s">
        <v>32</v>
      </c>
      <c r="D7" s="4">
        <v>1038</v>
      </c>
      <c r="E7" s="4">
        <v>376</v>
      </c>
      <c r="F7" s="4">
        <v>794</v>
      </c>
      <c r="G7" s="4">
        <v>840</v>
      </c>
      <c r="H7" s="4">
        <v>464</v>
      </c>
      <c r="I7" s="4">
        <v>1541</v>
      </c>
      <c r="J7" s="4">
        <v>1171</v>
      </c>
      <c r="K7" s="4">
        <v>727</v>
      </c>
      <c r="L7" s="4">
        <v>402</v>
      </c>
      <c r="M7" s="4">
        <v>194</v>
      </c>
      <c r="N7" s="4">
        <v>264</v>
      </c>
      <c r="O7" s="4">
        <v>255</v>
      </c>
      <c r="P7" s="4">
        <v>121</v>
      </c>
    </row>
    <row r="8" spans="1:16" x14ac:dyDescent="0.45">
      <c r="A8" s="54">
        <v>1</v>
      </c>
      <c r="B8" s="2" t="s">
        <v>6</v>
      </c>
      <c r="C8" s="2" t="s">
        <v>33</v>
      </c>
      <c r="D8" s="4">
        <v>-459</v>
      </c>
      <c r="E8" s="4">
        <v>240</v>
      </c>
      <c r="F8" s="4">
        <v>551</v>
      </c>
      <c r="G8" s="4">
        <v>52</v>
      </c>
      <c r="H8" s="4">
        <v>243</v>
      </c>
      <c r="I8" s="4">
        <v>174</v>
      </c>
      <c r="J8" s="4">
        <v>5</v>
      </c>
      <c r="K8" s="4">
        <v>-21</v>
      </c>
      <c r="L8" s="4">
        <v>56</v>
      </c>
      <c r="M8" s="4">
        <v>1092</v>
      </c>
      <c r="N8" s="4">
        <v>152</v>
      </c>
      <c r="O8" s="4">
        <v>15</v>
      </c>
      <c r="P8" s="4">
        <v>109</v>
      </c>
    </row>
    <row r="9" spans="1:16" x14ac:dyDescent="0.45">
      <c r="A9" s="54">
        <v>1</v>
      </c>
      <c r="B9" s="2" t="s">
        <v>6</v>
      </c>
      <c r="C9" s="2" t="s">
        <v>34</v>
      </c>
      <c r="D9" s="4">
        <v>-107.5</v>
      </c>
      <c r="E9" s="4">
        <v>90</v>
      </c>
      <c r="F9" s="4">
        <v>301</v>
      </c>
      <c r="G9" s="4">
        <v>155.11660000000001</v>
      </c>
      <c r="H9" s="4">
        <v>107.7937</v>
      </c>
      <c r="I9" s="4">
        <v>48</v>
      </c>
      <c r="J9" s="4">
        <v>223</v>
      </c>
      <c r="K9" s="4">
        <v>46.5</v>
      </c>
      <c r="L9" s="4">
        <v>46</v>
      </c>
      <c r="M9" s="4">
        <v>68</v>
      </c>
      <c r="N9" s="4">
        <v>97</v>
      </c>
      <c r="O9" s="4">
        <v>39</v>
      </c>
      <c r="P9" s="4">
        <v>11</v>
      </c>
    </row>
    <row r="10" spans="1:16" x14ac:dyDescent="0.45">
      <c r="A10" s="54">
        <v>2</v>
      </c>
      <c r="B10" s="2" t="s">
        <v>159</v>
      </c>
      <c r="C10" s="2" t="s">
        <v>29</v>
      </c>
      <c r="D10" s="3"/>
      <c r="E10" s="3"/>
      <c r="F10" s="3"/>
      <c r="G10" s="3"/>
      <c r="H10" s="4">
        <v>0</v>
      </c>
      <c r="I10" s="4">
        <v>0</v>
      </c>
      <c r="J10" s="4">
        <v>0</v>
      </c>
      <c r="K10" s="4">
        <v>19</v>
      </c>
      <c r="L10" s="4">
        <v>22</v>
      </c>
      <c r="M10" s="4">
        <v>0</v>
      </c>
      <c r="N10" s="4">
        <v>0</v>
      </c>
      <c r="O10" s="4">
        <v>0</v>
      </c>
      <c r="P10" s="4">
        <v>0</v>
      </c>
    </row>
    <row r="11" spans="1:16" x14ac:dyDescent="0.45">
      <c r="A11" s="54">
        <v>2</v>
      </c>
      <c r="B11" s="2" t="s">
        <v>159</v>
      </c>
      <c r="C11" s="2" t="s">
        <v>30</v>
      </c>
      <c r="D11" s="3"/>
      <c r="E11" s="3"/>
      <c r="F11" s="3"/>
      <c r="G11" s="3"/>
      <c r="H11" s="4">
        <v>1</v>
      </c>
      <c r="I11" s="4">
        <v>23</v>
      </c>
      <c r="J11" s="4">
        <v>40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x14ac:dyDescent="0.45">
      <c r="A12" s="54">
        <v>2</v>
      </c>
      <c r="B12" s="2" t="s">
        <v>159</v>
      </c>
      <c r="C12" s="2" t="s">
        <v>31</v>
      </c>
      <c r="D12" s="3"/>
      <c r="E12" s="3"/>
      <c r="F12" s="3"/>
      <c r="G12" s="3"/>
      <c r="H12" s="4">
        <v>256</v>
      </c>
      <c r="I12" s="4">
        <v>204</v>
      </c>
      <c r="J12" s="4">
        <v>307</v>
      </c>
      <c r="K12" s="4">
        <v>1115</v>
      </c>
      <c r="L12" s="4">
        <v>3536</v>
      </c>
      <c r="M12" s="4">
        <v>4290</v>
      </c>
      <c r="N12" s="4">
        <v>5213</v>
      </c>
      <c r="O12" s="4">
        <v>4087</v>
      </c>
      <c r="P12" s="4">
        <v>5815</v>
      </c>
    </row>
    <row r="13" spans="1:16" x14ac:dyDescent="0.45">
      <c r="A13" s="54">
        <v>2</v>
      </c>
      <c r="B13" s="2" t="s">
        <v>159</v>
      </c>
      <c r="C13" s="2" t="s">
        <v>32</v>
      </c>
      <c r="D13" s="3"/>
      <c r="E13" s="3"/>
      <c r="F13" s="3"/>
      <c r="G13" s="3"/>
      <c r="H13" s="4">
        <v>10</v>
      </c>
      <c r="I13" s="4">
        <v>0</v>
      </c>
      <c r="J13" s="4">
        <v>31</v>
      </c>
      <c r="K13" s="4">
        <v>5</v>
      </c>
      <c r="L13" s="4">
        <v>29</v>
      </c>
      <c r="M13" s="4">
        <v>0</v>
      </c>
      <c r="N13" s="4">
        <v>0</v>
      </c>
      <c r="O13" s="4">
        <v>0</v>
      </c>
      <c r="P13" s="4">
        <v>0</v>
      </c>
    </row>
    <row r="14" spans="1:16" x14ac:dyDescent="0.45">
      <c r="A14" s="54">
        <v>2</v>
      </c>
      <c r="B14" s="2" t="s">
        <v>159</v>
      </c>
      <c r="C14" s="2" t="s">
        <v>33</v>
      </c>
      <c r="D14" s="3"/>
      <c r="E14" s="3"/>
      <c r="F14" s="3"/>
      <c r="G14" s="3"/>
      <c r="H14" s="4">
        <v>0</v>
      </c>
      <c r="I14" s="4">
        <v>0</v>
      </c>
      <c r="J14" s="4">
        <v>0</v>
      </c>
      <c r="K14" s="4">
        <v>3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</row>
    <row r="15" spans="1:16" x14ac:dyDescent="0.45">
      <c r="A15" s="54">
        <v>2</v>
      </c>
      <c r="B15" s="2" t="s">
        <v>159</v>
      </c>
      <c r="C15" s="2" t="s">
        <v>34</v>
      </c>
      <c r="D15" s="3"/>
      <c r="E15" s="3"/>
      <c r="F15" s="3"/>
      <c r="G15" s="3"/>
      <c r="H15" s="4">
        <v>0</v>
      </c>
      <c r="I15" s="4">
        <v>0</v>
      </c>
      <c r="J15" s="4">
        <v>1</v>
      </c>
      <c r="K15" s="4">
        <v>10</v>
      </c>
      <c r="L15" s="4">
        <v>0</v>
      </c>
      <c r="M15" s="4">
        <v>0</v>
      </c>
      <c r="N15" s="4">
        <v>0</v>
      </c>
      <c r="O15" s="4">
        <v>3</v>
      </c>
      <c r="P15" s="4">
        <v>0</v>
      </c>
    </row>
    <row r="16" spans="1:16" x14ac:dyDescent="0.45">
      <c r="A16" s="54">
        <v>3</v>
      </c>
      <c r="B16" s="2" t="s">
        <v>161</v>
      </c>
      <c r="C16" s="2" t="s">
        <v>29</v>
      </c>
      <c r="D16" s="4">
        <v>8003</v>
      </c>
      <c r="E16" s="4">
        <v>0</v>
      </c>
      <c r="F16" s="4">
        <v>2</v>
      </c>
      <c r="G16" s="4">
        <v>1810</v>
      </c>
      <c r="H16" s="4">
        <v>820</v>
      </c>
      <c r="I16" s="4">
        <v>224</v>
      </c>
      <c r="J16" s="4">
        <v>507</v>
      </c>
      <c r="K16" s="4">
        <v>1483</v>
      </c>
      <c r="L16" s="4">
        <v>167</v>
      </c>
      <c r="M16" s="4">
        <v>628</v>
      </c>
      <c r="N16" s="4">
        <v>530.5</v>
      </c>
      <c r="O16" s="4">
        <v>602</v>
      </c>
      <c r="P16" s="4">
        <v>56</v>
      </c>
    </row>
    <row r="17" spans="1:16" x14ac:dyDescent="0.45">
      <c r="A17" s="54">
        <v>3</v>
      </c>
      <c r="B17" s="2" t="s">
        <v>161</v>
      </c>
      <c r="C17" s="2" t="s">
        <v>30</v>
      </c>
      <c r="D17" s="4">
        <v>35</v>
      </c>
      <c r="E17" s="4">
        <v>0</v>
      </c>
      <c r="F17" s="4">
        <v>202</v>
      </c>
      <c r="G17" s="4">
        <v>40</v>
      </c>
      <c r="H17" s="4">
        <v>533.70000000000005</v>
      </c>
      <c r="I17" s="4">
        <v>17</v>
      </c>
      <c r="J17" s="4">
        <v>755</v>
      </c>
      <c r="K17" s="4">
        <v>3191</v>
      </c>
      <c r="L17" s="4">
        <v>418.5</v>
      </c>
      <c r="M17" s="4">
        <v>703</v>
      </c>
      <c r="N17" s="4">
        <v>1798.3125</v>
      </c>
      <c r="O17" s="4">
        <v>421.5</v>
      </c>
      <c r="P17" s="4">
        <v>1691</v>
      </c>
    </row>
    <row r="18" spans="1:16" x14ac:dyDescent="0.45">
      <c r="A18" s="54">
        <v>3</v>
      </c>
      <c r="B18" s="2" t="s">
        <v>161</v>
      </c>
      <c r="C18" s="2" t="s">
        <v>31</v>
      </c>
      <c r="D18" s="4">
        <v>440</v>
      </c>
      <c r="E18" s="4">
        <v>413</v>
      </c>
      <c r="F18" s="4">
        <v>2760</v>
      </c>
      <c r="G18" s="4">
        <v>900</v>
      </c>
      <c r="H18" s="4">
        <v>1395</v>
      </c>
      <c r="I18" s="4">
        <v>859</v>
      </c>
      <c r="J18" s="4">
        <v>3267</v>
      </c>
      <c r="K18" s="4">
        <v>752</v>
      </c>
      <c r="L18" s="4">
        <v>1498</v>
      </c>
      <c r="M18" s="4">
        <v>2575</v>
      </c>
      <c r="N18" s="4">
        <v>3859</v>
      </c>
      <c r="O18" s="4">
        <v>3679</v>
      </c>
      <c r="P18" s="4">
        <v>1373</v>
      </c>
    </row>
    <row r="19" spans="1:16" x14ac:dyDescent="0.45">
      <c r="A19" s="54">
        <v>3</v>
      </c>
      <c r="B19" s="2" t="s">
        <v>161</v>
      </c>
      <c r="C19" s="2" t="s">
        <v>32</v>
      </c>
      <c r="D19" s="4">
        <v>90</v>
      </c>
      <c r="E19" s="4">
        <v>21</v>
      </c>
      <c r="F19" s="4">
        <v>5</v>
      </c>
      <c r="G19" s="4">
        <v>62</v>
      </c>
      <c r="H19" s="4">
        <v>62</v>
      </c>
      <c r="I19" s="4">
        <v>68</v>
      </c>
      <c r="J19" s="4">
        <v>63</v>
      </c>
      <c r="K19" s="4">
        <v>189</v>
      </c>
      <c r="L19" s="4">
        <v>78</v>
      </c>
      <c r="M19" s="4">
        <v>136</v>
      </c>
      <c r="N19" s="4">
        <v>132.1875</v>
      </c>
      <c r="O19" s="4">
        <v>1702</v>
      </c>
      <c r="P19" s="4">
        <v>697</v>
      </c>
    </row>
    <row r="20" spans="1:16" x14ac:dyDescent="0.45">
      <c r="A20" s="54">
        <v>3</v>
      </c>
      <c r="B20" s="2" t="s">
        <v>161</v>
      </c>
      <c r="C20" s="2" t="s">
        <v>33</v>
      </c>
      <c r="D20" s="4">
        <v>2</v>
      </c>
      <c r="E20" s="4">
        <v>9</v>
      </c>
      <c r="F20" s="4">
        <v>52</v>
      </c>
      <c r="G20" s="4">
        <v>2</v>
      </c>
      <c r="H20" s="4">
        <v>2</v>
      </c>
      <c r="I20" s="4">
        <v>71</v>
      </c>
      <c r="J20" s="4">
        <v>2</v>
      </c>
      <c r="K20" s="4">
        <v>52</v>
      </c>
      <c r="L20" s="4">
        <v>14</v>
      </c>
      <c r="M20" s="4">
        <v>14</v>
      </c>
      <c r="N20" s="4">
        <v>58</v>
      </c>
      <c r="O20" s="4">
        <v>203</v>
      </c>
      <c r="P20" s="4">
        <v>28</v>
      </c>
    </row>
    <row r="21" spans="1:16" x14ac:dyDescent="0.45">
      <c r="A21" s="54">
        <v>3</v>
      </c>
      <c r="B21" s="2" t="s">
        <v>161</v>
      </c>
      <c r="C21" s="2" t="s">
        <v>34</v>
      </c>
      <c r="D21" s="4">
        <v>1</v>
      </c>
      <c r="E21" s="4">
        <v>4</v>
      </c>
      <c r="F21" s="4">
        <v>1</v>
      </c>
      <c r="G21" s="4">
        <v>8</v>
      </c>
      <c r="H21" s="4">
        <v>41.3</v>
      </c>
      <c r="I21" s="4">
        <v>52</v>
      </c>
      <c r="J21" s="4">
        <v>0</v>
      </c>
      <c r="K21" s="4">
        <v>1</v>
      </c>
      <c r="L21" s="4">
        <v>42.5</v>
      </c>
      <c r="M21" s="4">
        <v>0</v>
      </c>
      <c r="N21" s="4">
        <v>27</v>
      </c>
      <c r="O21" s="4">
        <v>120.5</v>
      </c>
      <c r="P21" s="4">
        <v>9</v>
      </c>
    </row>
    <row r="22" spans="1:16" x14ac:dyDescent="0.45">
      <c r="A22" s="54">
        <v>4</v>
      </c>
      <c r="B22" s="2" t="s">
        <v>190</v>
      </c>
      <c r="C22" s="2" t="s">
        <v>29</v>
      </c>
      <c r="D22" s="4">
        <v>1304</v>
      </c>
      <c r="E22" s="4">
        <v>1110.5</v>
      </c>
      <c r="F22" s="4">
        <v>1035</v>
      </c>
      <c r="G22" s="4">
        <v>1365</v>
      </c>
      <c r="H22" s="4">
        <v>2290</v>
      </c>
      <c r="I22" s="4">
        <v>443</v>
      </c>
      <c r="J22" s="4">
        <v>1157</v>
      </c>
      <c r="K22" s="4">
        <v>1665</v>
      </c>
      <c r="L22" s="4">
        <v>1588</v>
      </c>
      <c r="M22" s="4">
        <v>1700</v>
      </c>
      <c r="N22" s="4">
        <v>1489</v>
      </c>
      <c r="O22" s="4">
        <v>1397</v>
      </c>
      <c r="P22" s="4">
        <v>699</v>
      </c>
    </row>
    <row r="23" spans="1:16" x14ac:dyDescent="0.45">
      <c r="A23" s="54">
        <v>4</v>
      </c>
      <c r="B23" s="2" t="s">
        <v>190</v>
      </c>
      <c r="C23" s="2" t="s">
        <v>30</v>
      </c>
      <c r="D23" s="4">
        <v>501</v>
      </c>
      <c r="E23" s="4">
        <v>556</v>
      </c>
      <c r="F23" s="4">
        <v>6043</v>
      </c>
      <c r="G23" s="4">
        <v>1702</v>
      </c>
      <c r="H23" s="4">
        <v>740</v>
      </c>
      <c r="I23" s="4">
        <v>401</v>
      </c>
      <c r="J23" s="4">
        <v>4849</v>
      </c>
      <c r="K23" s="4">
        <v>2209</v>
      </c>
      <c r="L23" s="4">
        <v>1103</v>
      </c>
      <c r="M23" s="4">
        <v>1327</v>
      </c>
      <c r="N23" s="4">
        <v>329</v>
      </c>
      <c r="O23" s="4">
        <v>2724</v>
      </c>
      <c r="P23" s="4">
        <v>2099</v>
      </c>
    </row>
    <row r="24" spans="1:16" x14ac:dyDescent="0.45">
      <c r="A24" s="54">
        <v>4</v>
      </c>
      <c r="B24" s="2" t="s">
        <v>190</v>
      </c>
      <c r="C24" s="2" t="s">
        <v>31</v>
      </c>
      <c r="D24" s="4">
        <v>10542</v>
      </c>
      <c r="E24" s="4">
        <v>12873</v>
      </c>
      <c r="F24" s="4">
        <v>10219</v>
      </c>
      <c r="G24" s="4">
        <v>7562</v>
      </c>
      <c r="H24" s="4">
        <v>15658</v>
      </c>
      <c r="I24" s="4">
        <v>8767</v>
      </c>
      <c r="J24" s="4">
        <v>9458</v>
      </c>
      <c r="K24" s="4">
        <v>12601</v>
      </c>
      <c r="L24" s="4">
        <v>17377</v>
      </c>
      <c r="M24" s="4">
        <v>11789</v>
      </c>
      <c r="N24" s="4">
        <v>13468</v>
      </c>
      <c r="O24" s="4">
        <v>13993</v>
      </c>
      <c r="P24" s="4">
        <v>7926</v>
      </c>
    </row>
    <row r="25" spans="1:16" x14ac:dyDescent="0.45">
      <c r="A25" s="54">
        <v>4</v>
      </c>
      <c r="B25" s="2" t="s">
        <v>190</v>
      </c>
      <c r="C25" s="2" t="s">
        <v>32</v>
      </c>
      <c r="D25" s="4">
        <v>4824</v>
      </c>
      <c r="E25" s="4">
        <v>7669</v>
      </c>
      <c r="F25" s="4">
        <v>5446</v>
      </c>
      <c r="G25" s="4">
        <v>2326</v>
      </c>
      <c r="H25" s="4">
        <v>3050</v>
      </c>
      <c r="I25" s="4">
        <v>4354</v>
      </c>
      <c r="J25" s="4">
        <v>2605</v>
      </c>
      <c r="K25" s="4">
        <v>4409</v>
      </c>
      <c r="L25" s="4">
        <v>6154</v>
      </c>
      <c r="M25" s="4">
        <v>3128</v>
      </c>
      <c r="N25" s="4">
        <v>3924</v>
      </c>
      <c r="O25" s="4">
        <v>4569</v>
      </c>
      <c r="P25" s="4">
        <v>702</v>
      </c>
    </row>
    <row r="26" spans="1:16" x14ac:dyDescent="0.45">
      <c r="A26" s="54">
        <v>4</v>
      </c>
      <c r="B26" s="2" t="s">
        <v>190</v>
      </c>
      <c r="C26" s="2" t="s">
        <v>33</v>
      </c>
      <c r="D26" s="4">
        <v>1</v>
      </c>
      <c r="E26" s="4">
        <v>228</v>
      </c>
      <c r="F26" s="4">
        <v>2</v>
      </c>
      <c r="G26" s="4">
        <v>28</v>
      </c>
      <c r="H26" s="4">
        <v>10</v>
      </c>
      <c r="I26" s="4">
        <v>234</v>
      </c>
      <c r="J26" s="4">
        <v>930</v>
      </c>
      <c r="K26" s="4">
        <v>660</v>
      </c>
      <c r="L26" s="4">
        <v>440</v>
      </c>
      <c r="M26" s="4">
        <v>260</v>
      </c>
      <c r="N26" s="4">
        <v>2606</v>
      </c>
      <c r="O26" s="4">
        <v>0</v>
      </c>
      <c r="P26" s="4">
        <v>219</v>
      </c>
    </row>
    <row r="27" spans="1:16" x14ac:dyDescent="0.45">
      <c r="A27" s="54">
        <v>4</v>
      </c>
      <c r="B27" s="2" t="s">
        <v>190</v>
      </c>
      <c r="C27" s="2" t="s">
        <v>34</v>
      </c>
      <c r="D27" s="4">
        <v>133</v>
      </c>
      <c r="E27" s="4">
        <v>120.5</v>
      </c>
      <c r="F27" s="4">
        <v>690</v>
      </c>
      <c r="G27" s="4">
        <v>872</v>
      </c>
      <c r="H27" s="4">
        <v>19</v>
      </c>
      <c r="I27" s="4">
        <v>192</v>
      </c>
      <c r="J27" s="4">
        <v>107</v>
      </c>
      <c r="K27" s="4">
        <v>49</v>
      </c>
      <c r="L27" s="4">
        <v>195</v>
      </c>
      <c r="M27" s="4">
        <v>976</v>
      </c>
      <c r="N27" s="4">
        <v>201</v>
      </c>
      <c r="O27" s="4">
        <v>471</v>
      </c>
      <c r="P27" s="4">
        <v>14</v>
      </c>
    </row>
    <row r="28" spans="1:16" x14ac:dyDescent="0.45">
      <c r="A28" s="54">
        <v>5</v>
      </c>
      <c r="B28" s="2" t="s">
        <v>8</v>
      </c>
      <c r="C28" s="2" t="s">
        <v>29</v>
      </c>
      <c r="D28" s="4">
        <v>6</v>
      </c>
      <c r="E28" s="4">
        <v>32</v>
      </c>
      <c r="F28" s="4">
        <v>29</v>
      </c>
      <c r="G28" s="4">
        <v>30</v>
      </c>
      <c r="H28" s="4">
        <v>12</v>
      </c>
      <c r="I28" s="4">
        <v>35</v>
      </c>
      <c r="J28" s="4">
        <v>13.5</v>
      </c>
      <c r="K28" s="4">
        <v>37</v>
      </c>
      <c r="L28" s="4">
        <v>315</v>
      </c>
      <c r="M28" s="4">
        <v>61</v>
      </c>
      <c r="N28" s="4">
        <v>64</v>
      </c>
      <c r="O28" s="4">
        <v>73</v>
      </c>
      <c r="P28" s="4">
        <v>38</v>
      </c>
    </row>
    <row r="29" spans="1:16" x14ac:dyDescent="0.45">
      <c r="A29" s="54">
        <v>5</v>
      </c>
      <c r="B29" s="2" t="s">
        <v>8</v>
      </c>
      <c r="C29" s="2" t="s">
        <v>30</v>
      </c>
      <c r="D29" s="4">
        <v>116</v>
      </c>
      <c r="E29" s="4">
        <v>68</v>
      </c>
      <c r="F29" s="4">
        <v>287</v>
      </c>
      <c r="G29" s="4">
        <v>532</v>
      </c>
      <c r="H29" s="4">
        <v>186</v>
      </c>
      <c r="I29" s="4">
        <v>263</v>
      </c>
      <c r="J29" s="4">
        <v>91</v>
      </c>
      <c r="K29" s="4">
        <v>440</v>
      </c>
      <c r="L29" s="4">
        <v>451</v>
      </c>
      <c r="M29" s="4">
        <v>1020</v>
      </c>
      <c r="N29" s="4">
        <v>905</v>
      </c>
      <c r="O29" s="4">
        <v>612</v>
      </c>
      <c r="P29" s="4">
        <v>635</v>
      </c>
    </row>
    <row r="30" spans="1:16" x14ac:dyDescent="0.45">
      <c r="A30" s="54">
        <v>5</v>
      </c>
      <c r="B30" s="2" t="s">
        <v>8</v>
      </c>
      <c r="C30" s="2" t="s">
        <v>31</v>
      </c>
      <c r="D30" s="4">
        <v>720</v>
      </c>
      <c r="E30" s="4">
        <v>650</v>
      </c>
      <c r="F30" s="4">
        <v>226</v>
      </c>
      <c r="G30" s="4">
        <v>160</v>
      </c>
      <c r="H30" s="4">
        <v>153</v>
      </c>
      <c r="I30" s="4">
        <v>126</v>
      </c>
      <c r="J30" s="4">
        <v>120</v>
      </c>
      <c r="K30" s="4">
        <v>227</v>
      </c>
      <c r="L30" s="4">
        <v>348</v>
      </c>
      <c r="M30" s="4">
        <v>261</v>
      </c>
      <c r="N30" s="4">
        <v>570</v>
      </c>
      <c r="O30" s="4">
        <v>686</v>
      </c>
      <c r="P30" s="4">
        <v>368</v>
      </c>
    </row>
    <row r="31" spans="1:16" x14ac:dyDescent="0.45">
      <c r="A31" s="54">
        <v>5</v>
      </c>
      <c r="B31" s="2" t="s">
        <v>8</v>
      </c>
      <c r="C31" s="2" t="s">
        <v>32</v>
      </c>
      <c r="D31" s="4">
        <v>23</v>
      </c>
      <c r="E31" s="4">
        <v>63</v>
      </c>
      <c r="F31" s="4">
        <v>3</v>
      </c>
      <c r="G31" s="4">
        <v>81</v>
      </c>
      <c r="H31" s="4">
        <v>59</v>
      </c>
      <c r="I31" s="4">
        <v>19</v>
      </c>
      <c r="J31" s="4">
        <v>5</v>
      </c>
      <c r="K31" s="4">
        <v>52</v>
      </c>
      <c r="L31" s="4">
        <v>28</v>
      </c>
      <c r="M31" s="4">
        <v>12</v>
      </c>
      <c r="N31" s="4">
        <v>59</v>
      </c>
      <c r="O31" s="4">
        <v>57</v>
      </c>
      <c r="P31" s="4">
        <v>49</v>
      </c>
    </row>
    <row r="32" spans="1:16" x14ac:dyDescent="0.45">
      <c r="A32" s="54">
        <v>5</v>
      </c>
      <c r="B32" s="2" t="s">
        <v>8</v>
      </c>
      <c r="C32" s="2" t="s">
        <v>33</v>
      </c>
      <c r="D32" s="4">
        <v>0</v>
      </c>
      <c r="E32" s="4">
        <v>0</v>
      </c>
      <c r="F32" s="4">
        <v>2</v>
      </c>
      <c r="G32" s="4">
        <v>0</v>
      </c>
      <c r="H32" s="4">
        <v>0</v>
      </c>
      <c r="I32" s="4">
        <v>5</v>
      </c>
      <c r="J32" s="4">
        <v>4</v>
      </c>
      <c r="K32" s="4">
        <v>10</v>
      </c>
      <c r="L32" s="4">
        <v>4</v>
      </c>
      <c r="M32" s="4">
        <v>1</v>
      </c>
      <c r="N32" s="4">
        <v>160</v>
      </c>
      <c r="O32" s="4">
        <v>9</v>
      </c>
      <c r="P32" s="4">
        <v>1</v>
      </c>
    </row>
    <row r="33" spans="1:16" x14ac:dyDescent="0.45">
      <c r="A33" s="54">
        <v>5</v>
      </c>
      <c r="B33" s="2" t="s">
        <v>8</v>
      </c>
      <c r="C33" s="2" t="s">
        <v>34</v>
      </c>
      <c r="D33" s="4">
        <v>0</v>
      </c>
      <c r="E33" s="4">
        <v>15</v>
      </c>
      <c r="F33" s="4">
        <v>2</v>
      </c>
      <c r="G33" s="4">
        <v>0</v>
      </c>
      <c r="H33" s="4">
        <v>2</v>
      </c>
      <c r="I33" s="4">
        <v>1</v>
      </c>
      <c r="J33" s="4">
        <v>10.5</v>
      </c>
      <c r="K33" s="4">
        <v>9</v>
      </c>
      <c r="L33" s="4">
        <v>7</v>
      </c>
      <c r="M33" s="4">
        <v>13</v>
      </c>
      <c r="N33" s="4">
        <v>47</v>
      </c>
      <c r="O33" s="4">
        <v>20</v>
      </c>
      <c r="P33" s="4">
        <v>11</v>
      </c>
    </row>
    <row r="34" spans="1:16" x14ac:dyDescent="0.45">
      <c r="A34" s="54">
        <v>6</v>
      </c>
      <c r="B34" s="2" t="s">
        <v>9</v>
      </c>
      <c r="C34" s="2" t="s">
        <v>29</v>
      </c>
      <c r="D34" s="4">
        <v>70.349999999999994</v>
      </c>
      <c r="E34" s="4">
        <v>62.024000000000001</v>
      </c>
      <c r="F34" s="4">
        <v>318.666</v>
      </c>
      <c r="G34" s="4">
        <v>50.04</v>
      </c>
      <c r="H34" s="4">
        <v>36.384</v>
      </c>
      <c r="I34" s="4">
        <v>4.97</v>
      </c>
      <c r="J34" s="4">
        <v>12.54</v>
      </c>
      <c r="K34" s="4">
        <v>18.504999999999999</v>
      </c>
      <c r="L34" s="4">
        <v>98.844999999999999</v>
      </c>
      <c r="M34" s="4">
        <v>62.46</v>
      </c>
      <c r="N34" s="4">
        <v>22.098800000000001</v>
      </c>
      <c r="O34" s="4">
        <v>18.276</v>
      </c>
      <c r="P34" s="4">
        <v>27.988</v>
      </c>
    </row>
    <row r="35" spans="1:16" x14ac:dyDescent="0.45">
      <c r="A35" s="54">
        <v>6</v>
      </c>
      <c r="B35" s="2" t="s">
        <v>9</v>
      </c>
      <c r="C35" s="2" t="s">
        <v>30</v>
      </c>
      <c r="D35" s="4">
        <v>21.664999999999999</v>
      </c>
      <c r="E35" s="4">
        <v>13.384</v>
      </c>
      <c r="F35" s="4">
        <v>23.120999999999999</v>
      </c>
      <c r="G35" s="4">
        <v>37.22</v>
      </c>
      <c r="H35" s="4">
        <v>18.591999999999999</v>
      </c>
      <c r="I35" s="4">
        <v>2.976</v>
      </c>
      <c r="J35" s="4">
        <v>27.215</v>
      </c>
      <c r="K35" s="4">
        <v>9.5949999999999989</v>
      </c>
      <c r="L35" s="4">
        <v>41.730000000000004</v>
      </c>
      <c r="M35" s="4">
        <v>9.0500000000000007</v>
      </c>
      <c r="N35" s="4">
        <v>25.745799999999999</v>
      </c>
      <c r="O35" s="4">
        <v>59.256</v>
      </c>
      <c r="P35" s="4">
        <v>141.00800000000001</v>
      </c>
    </row>
    <row r="36" spans="1:16" x14ac:dyDescent="0.45">
      <c r="A36" s="54">
        <v>6</v>
      </c>
      <c r="B36" s="2" t="s">
        <v>9</v>
      </c>
      <c r="C36" s="2" t="s">
        <v>31</v>
      </c>
      <c r="D36" s="4">
        <v>1738</v>
      </c>
      <c r="E36" s="4">
        <v>1959</v>
      </c>
      <c r="F36" s="4">
        <v>198</v>
      </c>
      <c r="G36" s="4">
        <v>49</v>
      </c>
      <c r="H36" s="4">
        <v>112</v>
      </c>
      <c r="I36" s="4">
        <v>1309.0899999999999</v>
      </c>
      <c r="J36" s="4">
        <v>213</v>
      </c>
      <c r="K36" s="4">
        <v>320</v>
      </c>
      <c r="L36" s="4">
        <v>219</v>
      </c>
      <c r="M36" s="4">
        <v>223</v>
      </c>
      <c r="N36" s="4">
        <v>178</v>
      </c>
      <c r="O36" s="4">
        <v>970</v>
      </c>
      <c r="P36" s="4">
        <v>126</v>
      </c>
    </row>
    <row r="37" spans="1:16" x14ac:dyDescent="0.45">
      <c r="A37" s="54">
        <v>6</v>
      </c>
      <c r="B37" s="2" t="s">
        <v>9</v>
      </c>
      <c r="C37" s="2" t="s">
        <v>32</v>
      </c>
      <c r="D37" s="4">
        <v>421.64</v>
      </c>
      <c r="E37" s="4">
        <v>453.37599999999998</v>
      </c>
      <c r="F37" s="4">
        <v>-103.785</v>
      </c>
      <c r="G37" s="4">
        <v>91.62</v>
      </c>
      <c r="H37" s="4">
        <v>84.783999999999992</v>
      </c>
      <c r="I37" s="4">
        <v>163.964</v>
      </c>
      <c r="J37" s="4">
        <v>50.65</v>
      </c>
      <c r="K37" s="4">
        <v>46.18</v>
      </c>
      <c r="L37" s="4">
        <v>84.795000000000002</v>
      </c>
      <c r="M37" s="4">
        <v>68.924999999999997</v>
      </c>
      <c r="N37" s="4">
        <v>86.135500000000008</v>
      </c>
      <c r="O37" s="4">
        <v>36.852000000000004</v>
      </c>
      <c r="P37" s="4">
        <v>38.003999999999998</v>
      </c>
    </row>
    <row r="38" spans="1:16" x14ac:dyDescent="0.45">
      <c r="A38" s="54">
        <v>6</v>
      </c>
      <c r="B38" s="2" t="s">
        <v>9</v>
      </c>
      <c r="C38" s="2" t="s">
        <v>33</v>
      </c>
      <c r="D38" s="4">
        <v>1870.345</v>
      </c>
      <c r="E38" s="4">
        <v>-167.78399999999999</v>
      </c>
      <c r="F38" s="4">
        <v>1329.998</v>
      </c>
      <c r="G38" s="4">
        <v>428.12</v>
      </c>
      <c r="H38" s="4">
        <v>-26.759999999999991</v>
      </c>
      <c r="I38" s="4">
        <v>-112</v>
      </c>
      <c r="J38" s="4">
        <v>33.594999999999999</v>
      </c>
      <c r="K38" s="4">
        <v>289.72000000000003</v>
      </c>
      <c r="L38" s="4">
        <v>415.63</v>
      </c>
      <c r="M38" s="4">
        <v>597.56500000000005</v>
      </c>
      <c r="N38" s="4">
        <v>272.01990000000001</v>
      </c>
      <c r="O38" s="4">
        <v>303.61599999999999</v>
      </c>
      <c r="P38" s="4">
        <v>361</v>
      </c>
    </row>
    <row r="39" spans="1:16" x14ac:dyDescent="0.45">
      <c r="A39" s="54">
        <v>6</v>
      </c>
      <c r="B39" s="2" t="s">
        <v>9</v>
      </c>
      <c r="C39" s="2" t="s">
        <v>34</v>
      </c>
      <c r="D39" s="4">
        <v>-60</v>
      </c>
      <c r="E39" s="4">
        <v>0</v>
      </c>
      <c r="F39" s="4">
        <v>60</v>
      </c>
      <c r="G39" s="4">
        <v>2</v>
      </c>
      <c r="H39" s="4">
        <v>5</v>
      </c>
      <c r="I39" s="4">
        <v>111</v>
      </c>
      <c r="J39" s="4">
        <v>0</v>
      </c>
      <c r="K39" s="4">
        <v>51</v>
      </c>
      <c r="L39" s="4">
        <v>53</v>
      </c>
      <c r="M39" s="4">
        <v>2</v>
      </c>
      <c r="N39" s="4">
        <v>64</v>
      </c>
      <c r="O39" s="4">
        <v>94</v>
      </c>
      <c r="P39" s="4">
        <v>31</v>
      </c>
    </row>
    <row r="40" spans="1:16" x14ac:dyDescent="0.45">
      <c r="A40" s="54">
        <v>7</v>
      </c>
      <c r="B40" s="2" t="s">
        <v>166</v>
      </c>
      <c r="C40" s="2" t="s">
        <v>29</v>
      </c>
      <c r="D40" s="4">
        <v>1</v>
      </c>
      <c r="E40" s="4">
        <v>6</v>
      </c>
      <c r="F40" s="4">
        <v>37</v>
      </c>
      <c r="G40" s="4">
        <v>92</v>
      </c>
      <c r="H40" s="4">
        <v>24</v>
      </c>
      <c r="I40" s="4">
        <v>71</v>
      </c>
      <c r="J40" s="4">
        <v>68</v>
      </c>
      <c r="K40" s="4">
        <v>32</v>
      </c>
      <c r="L40" s="4">
        <v>61</v>
      </c>
      <c r="M40" s="4">
        <v>81.5</v>
      </c>
      <c r="N40" s="4">
        <v>192</v>
      </c>
      <c r="O40" s="4">
        <v>38.5</v>
      </c>
      <c r="P40" s="4">
        <v>337</v>
      </c>
    </row>
    <row r="41" spans="1:16" x14ac:dyDescent="0.45">
      <c r="A41" s="54">
        <v>7</v>
      </c>
      <c r="B41" s="2" t="s">
        <v>166</v>
      </c>
      <c r="C41" s="2" t="s">
        <v>30</v>
      </c>
      <c r="D41" s="4">
        <v>8</v>
      </c>
      <c r="E41" s="4">
        <v>14</v>
      </c>
      <c r="F41" s="4">
        <v>327</v>
      </c>
      <c r="G41" s="4">
        <v>28</v>
      </c>
      <c r="H41" s="4">
        <v>78</v>
      </c>
      <c r="I41" s="4">
        <v>192.25</v>
      </c>
      <c r="J41" s="4">
        <v>106.75</v>
      </c>
      <c r="K41" s="4">
        <v>159.5</v>
      </c>
      <c r="L41" s="4">
        <v>196.5</v>
      </c>
      <c r="M41" s="4">
        <v>81.75</v>
      </c>
      <c r="N41" s="4">
        <v>240.25</v>
      </c>
      <c r="O41" s="4">
        <v>221</v>
      </c>
      <c r="P41" s="4">
        <v>256</v>
      </c>
    </row>
    <row r="42" spans="1:16" x14ac:dyDescent="0.45">
      <c r="A42" s="54">
        <v>7</v>
      </c>
      <c r="B42" s="2" t="s">
        <v>166</v>
      </c>
      <c r="C42" s="2" t="s">
        <v>31</v>
      </c>
      <c r="D42" s="4">
        <v>8</v>
      </c>
      <c r="E42" s="4">
        <v>70</v>
      </c>
      <c r="F42" s="4">
        <v>101</v>
      </c>
      <c r="G42" s="4">
        <v>95</v>
      </c>
      <c r="H42" s="4">
        <v>163</v>
      </c>
      <c r="I42" s="4">
        <v>41</v>
      </c>
      <c r="J42" s="4">
        <v>34</v>
      </c>
      <c r="K42" s="4">
        <v>66</v>
      </c>
      <c r="L42" s="4">
        <v>121</v>
      </c>
      <c r="M42" s="4">
        <v>182</v>
      </c>
      <c r="N42" s="4">
        <v>112</v>
      </c>
      <c r="O42" s="4">
        <v>224</v>
      </c>
      <c r="P42" s="4">
        <v>85</v>
      </c>
    </row>
    <row r="43" spans="1:16" x14ac:dyDescent="0.45">
      <c r="A43" s="54">
        <v>7</v>
      </c>
      <c r="B43" s="2" t="s">
        <v>166</v>
      </c>
      <c r="C43" s="2" t="s">
        <v>32</v>
      </c>
      <c r="D43" s="4">
        <v>208</v>
      </c>
      <c r="E43" s="4">
        <v>351</v>
      </c>
      <c r="F43" s="4">
        <v>107</v>
      </c>
      <c r="G43" s="4">
        <v>169</v>
      </c>
      <c r="H43" s="4">
        <v>88</v>
      </c>
      <c r="I43" s="4">
        <v>243.75</v>
      </c>
      <c r="J43" s="4">
        <v>156.25</v>
      </c>
      <c r="K43" s="4">
        <v>249.5</v>
      </c>
      <c r="L43" s="4">
        <v>124.5</v>
      </c>
      <c r="M43" s="4">
        <v>117.75</v>
      </c>
      <c r="N43" s="4">
        <v>131.75</v>
      </c>
      <c r="O43" s="4">
        <v>297</v>
      </c>
      <c r="P43" s="4">
        <v>120</v>
      </c>
    </row>
    <row r="44" spans="1:16" x14ac:dyDescent="0.45">
      <c r="A44" s="54">
        <v>7</v>
      </c>
      <c r="B44" s="2" t="s">
        <v>166</v>
      </c>
      <c r="C44" s="2" t="s">
        <v>33</v>
      </c>
      <c r="D44" s="4">
        <v>2</v>
      </c>
      <c r="E44" s="3"/>
      <c r="F44" s="4">
        <v>34</v>
      </c>
      <c r="G44" s="4">
        <v>0</v>
      </c>
      <c r="H44" s="4">
        <v>2</v>
      </c>
      <c r="I44" s="4">
        <v>4</v>
      </c>
      <c r="J44" s="4">
        <v>1</v>
      </c>
      <c r="K44" s="4">
        <v>0</v>
      </c>
      <c r="L44" s="4">
        <v>1</v>
      </c>
      <c r="M44" s="4">
        <v>20</v>
      </c>
      <c r="N44" s="4">
        <v>0</v>
      </c>
      <c r="O44" s="4">
        <v>1.5</v>
      </c>
      <c r="P44" s="4">
        <v>4</v>
      </c>
    </row>
    <row r="45" spans="1:16" x14ac:dyDescent="0.45">
      <c r="A45" s="54">
        <v>7</v>
      </c>
      <c r="B45" s="2" t="s">
        <v>166</v>
      </c>
      <c r="C45" s="2" t="s">
        <v>34</v>
      </c>
      <c r="D45" s="3"/>
      <c r="E45" s="3"/>
      <c r="F45" s="4">
        <v>0</v>
      </c>
      <c r="G45" s="4">
        <v>0</v>
      </c>
      <c r="H45" s="4">
        <v>2</v>
      </c>
      <c r="I45" s="4">
        <v>0</v>
      </c>
      <c r="J45" s="4">
        <v>5</v>
      </c>
      <c r="K45" s="4">
        <v>25</v>
      </c>
      <c r="L45" s="4">
        <v>2</v>
      </c>
      <c r="M45" s="3"/>
      <c r="N45" s="4">
        <v>5</v>
      </c>
      <c r="O45" s="4">
        <v>1</v>
      </c>
      <c r="P45" s="4">
        <v>0</v>
      </c>
    </row>
    <row r="46" spans="1:16" x14ac:dyDescent="0.45">
      <c r="A46" s="54">
        <v>8</v>
      </c>
      <c r="B46" s="2" t="s">
        <v>168</v>
      </c>
      <c r="C46" s="2" t="s">
        <v>29</v>
      </c>
      <c r="D46" s="4">
        <v>678</v>
      </c>
      <c r="E46" s="4">
        <v>346</v>
      </c>
      <c r="F46" s="4">
        <v>638</v>
      </c>
      <c r="G46" s="4">
        <v>519</v>
      </c>
      <c r="H46" s="4">
        <v>389</v>
      </c>
      <c r="I46" s="4">
        <v>1315</v>
      </c>
      <c r="J46" s="4">
        <v>577</v>
      </c>
      <c r="K46" s="4">
        <v>785</v>
      </c>
      <c r="L46" s="4">
        <v>181</v>
      </c>
      <c r="M46" s="4">
        <v>482</v>
      </c>
      <c r="N46" s="4">
        <v>706</v>
      </c>
      <c r="O46" s="4">
        <v>894</v>
      </c>
      <c r="P46" s="4">
        <v>246.5</v>
      </c>
    </row>
    <row r="47" spans="1:16" x14ac:dyDescent="0.45">
      <c r="A47" s="54">
        <v>8</v>
      </c>
      <c r="B47" s="2" t="s">
        <v>168</v>
      </c>
      <c r="C47" s="2" t="s">
        <v>30</v>
      </c>
      <c r="D47" s="4">
        <v>1115</v>
      </c>
      <c r="E47" s="4">
        <v>45211</v>
      </c>
      <c r="F47" s="4">
        <v>12283</v>
      </c>
      <c r="G47" s="4">
        <v>5544</v>
      </c>
      <c r="H47" s="4">
        <v>2125</v>
      </c>
      <c r="I47" s="4">
        <v>2640</v>
      </c>
      <c r="J47" s="4">
        <v>3276</v>
      </c>
      <c r="K47" s="4">
        <v>2550</v>
      </c>
      <c r="L47" s="4">
        <v>7453</v>
      </c>
      <c r="M47" s="4">
        <v>1054</v>
      </c>
      <c r="N47" s="4">
        <v>622</v>
      </c>
      <c r="O47" s="4">
        <v>585</v>
      </c>
      <c r="P47" s="4">
        <v>532.5</v>
      </c>
    </row>
    <row r="48" spans="1:16" x14ac:dyDescent="0.45">
      <c r="A48" s="54">
        <v>8</v>
      </c>
      <c r="B48" s="2" t="s">
        <v>168</v>
      </c>
      <c r="C48" s="2" t="s">
        <v>31</v>
      </c>
      <c r="D48" s="4">
        <v>5190</v>
      </c>
      <c r="E48" s="4">
        <v>3642</v>
      </c>
      <c r="F48" s="4">
        <v>4855</v>
      </c>
      <c r="G48" s="4">
        <v>6020</v>
      </c>
      <c r="H48" s="4">
        <v>6567</v>
      </c>
      <c r="I48" s="4">
        <v>5727</v>
      </c>
      <c r="J48" s="4">
        <v>2856</v>
      </c>
      <c r="K48" s="4">
        <v>5315</v>
      </c>
      <c r="L48" s="4">
        <v>9218</v>
      </c>
      <c r="M48" s="4">
        <v>2757</v>
      </c>
      <c r="N48" s="4">
        <v>3380</v>
      </c>
      <c r="O48" s="4">
        <v>3517</v>
      </c>
      <c r="P48" s="4">
        <v>3310</v>
      </c>
    </row>
    <row r="49" spans="1:16" x14ac:dyDescent="0.45">
      <c r="A49" s="54">
        <v>8</v>
      </c>
      <c r="B49" s="2" t="s">
        <v>168</v>
      </c>
      <c r="C49" s="2" t="s">
        <v>32</v>
      </c>
      <c r="D49" s="4">
        <v>3126</v>
      </c>
      <c r="E49" s="4">
        <v>2680</v>
      </c>
      <c r="F49" s="4">
        <v>1326</v>
      </c>
      <c r="G49" s="4">
        <v>7278</v>
      </c>
      <c r="H49" s="4">
        <v>5533</v>
      </c>
      <c r="I49" s="4">
        <v>2782</v>
      </c>
      <c r="J49" s="4">
        <v>1910</v>
      </c>
      <c r="K49" s="4">
        <v>3108</v>
      </c>
      <c r="L49" s="4">
        <v>468</v>
      </c>
      <c r="M49" s="4">
        <v>487</v>
      </c>
      <c r="N49" s="4">
        <v>2473</v>
      </c>
      <c r="O49" s="4">
        <v>1142</v>
      </c>
      <c r="P49" s="4">
        <v>1721</v>
      </c>
    </row>
    <row r="50" spans="1:16" x14ac:dyDescent="0.45">
      <c r="A50" s="54">
        <v>8</v>
      </c>
      <c r="B50" s="2" t="s">
        <v>168</v>
      </c>
      <c r="C50" s="2" t="s">
        <v>33</v>
      </c>
      <c r="D50" s="4">
        <v>1269</v>
      </c>
      <c r="E50" s="4">
        <v>158</v>
      </c>
      <c r="F50" s="4">
        <v>161</v>
      </c>
      <c r="G50" s="4">
        <v>0</v>
      </c>
      <c r="H50" s="4">
        <v>96</v>
      </c>
      <c r="I50" s="4">
        <v>333</v>
      </c>
      <c r="J50" s="4">
        <v>87</v>
      </c>
      <c r="K50" s="4">
        <v>76</v>
      </c>
      <c r="L50" s="4">
        <v>201</v>
      </c>
      <c r="M50" s="4">
        <v>216</v>
      </c>
      <c r="N50" s="4">
        <v>38</v>
      </c>
      <c r="O50" s="4">
        <v>73</v>
      </c>
      <c r="P50" s="4">
        <v>44</v>
      </c>
    </row>
    <row r="51" spans="1:16" x14ac:dyDescent="0.45">
      <c r="A51" s="54">
        <v>8</v>
      </c>
      <c r="B51" s="2" t="s">
        <v>168</v>
      </c>
      <c r="C51" s="2" t="s">
        <v>34</v>
      </c>
      <c r="D51" s="4">
        <v>122</v>
      </c>
      <c r="E51" s="4">
        <v>21</v>
      </c>
      <c r="F51" s="4">
        <v>114</v>
      </c>
      <c r="G51" s="4">
        <v>61</v>
      </c>
      <c r="H51" s="4">
        <v>30</v>
      </c>
      <c r="I51" s="4">
        <v>70</v>
      </c>
      <c r="J51" s="4">
        <v>151</v>
      </c>
      <c r="K51" s="4">
        <v>10</v>
      </c>
      <c r="L51" s="4">
        <v>716</v>
      </c>
      <c r="M51" s="4">
        <v>48</v>
      </c>
      <c r="N51" s="4">
        <v>653</v>
      </c>
      <c r="O51" s="4">
        <v>63</v>
      </c>
      <c r="P51" s="4">
        <v>305</v>
      </c>
    </row>
    <row r="52" spans="1:16" x14ac:dyDescent="0.45">
      <c r="A52" s="54">
        <v>9</v>
      </c>
      <c r="B52" s="2" t="s">
        <v>191</v>
      </c>
      <c r="C52" s="2" t="s">
        <v>29</v>
      </c>
      <c r="D52" s="4">
        <v>866</v>
      </c>
      <c r="E52" s="4">
        <v>2452</v>
      </c>
      <c r="F52" s="4">
        <v>259</v>
      </c>
      <c r="G52" s="4">
        <v>330</v>
      </c>
      <c r="H52" s="4">
        <v>165</v>
      </c>
      <c r="I52" s="4">
        <v>282</v>
      </c>
      <c r="J52" s="4">
        <v>378.5</v>
      </c>
      <c r="K52" s="4">
        <v>532</v>
      </c>
      <c r="L52" s="4">
        <v>232</v>
      </c>
      <c r="M52" s="4">
        <v>61</v>
      </c>
      <c r="N52" s="4">
        <v>368</v>
      </c>
      <c r="O52" s="4">
        <v>267</v>
      </c>
      <c r="P52" s="4">
        <v>143</v>
      </c>
    </row>
    <row r="53" spans="1:16" x14ac:dyDescent="0.45">
      <c r="A53" s="54">
        <v>9</v>
      </c>
      <c r="B53" s="2" t="s">
        <v>191</v>
      </c>
      <c r="C53" s="2" t="s">
        <v>30</v>
      </c>
      <c r="D53" s="4">
        <v>5</v>
      </c>
      <c r="E53" s="4">
        <v>704</v>
      </c>
      <c r="F53" s="4">
        <v>1688</v>
      </c>
      <c r="G53" s="4">
        <v>802</v>
      </c>
      <c r="H53" s="4">
        <v>5</v>
      </c>
      <c r="I53" s="4">
        <v>46</v>
      </c>
      <c r="J53" s="4">
        <v>223</v>
      </c>
      <c r="K53" s="4">
        <v>20</v>
      </c>
      <c r="L53" s="4">
        <v>2269</v>
      </c>
      <c r="M53" s="4">
        <v>121</v>
      </c>
      <c r="N53" s="4">
        <v>279</v>
      </c>
      <c r="O53" s="4">
        <v>706</v>
      </c>
      <c r="P53" s="4">
        <v>207</v>
      </c>
    </row>
    <row r="54" spans="1:16" x14ac:dyDescent="0.45">
      <c r="A54" s="54">
        <v>9</v>
      </c>
      <c r="B54" s="2" t="s">
        <v>191</v>
      </c>
      <c r="C54" s="2" t="s">
        <v>31</v>
      </c>
      <c r="D54" s="4">
        <v>2490</v>
      </c>
      <c r="E54" s="4">
        <v>4577</v>
      </c>
      <c r="F54" s="4">
        <v>5627</v>
      </c>
      <c r="G54" s="4">
        <v>8021</v>
      </c>
      <c r="H54" s="4">
        <v>12069</v>
      </c>
      <c r="I54" s="4">
        <v>4752</v>
      </c>
      <c r="J54" s="4">
        <v>5802</v>
      </c>
      <c r="K54" s="4">
        <v>8161</v>
      </c>
      <c r="L54" s="4">
        <v>7216</v>
      </c>
      <c r="M54" s="4">
        <v>4718</v>
      </c>
      <c r="N54" s="4">
        <v>26066</v>
      </c>
      <c r="O54" s="4">
        <v>9785</v>
      </c>
      <c r="P54" s="4">
        <v>3078</v>
      </c>
    </row>
    <row r="55" spans="1:16" x14ac:dyDescent="0.45">
      <c r="A55" s="54">
        <v>9</v>
      </c>
      <c r="B55" s="2" t="s">
        <v>191</v>
      </c>
      <c r="C55" s="2" t="s">
        <v>32</v>
      </c>
      <c r="D55" s="4">
        <v>119</v>
      </c>
      <c r="E55" s="4">
        <v>64</v>
      </c>
      <c r="F55" s="4">
        <v>923</v>
      </c>
      <c r="G55" s="4">
        <v>440</v>
      </c>
      <c r="H55" s="4">
        <v>746</v>
      </c>
      <c r="I55" s="4">
        <v>279</v>
      </c>
      <c r="J55" s="4">
        <v>516</v>
      </c>
      <c r="K55" s="4">
        <v>410</v>
      </c>
      <c r="L55" s="4">
        <v>190</v>
      </c>
      <c r="M55" s="4">
        <v>149</v>
      </c>
      <c r="N55" s="4">
        <v>23</v>
      </c>
      <c r="O55" s="4">
        <v>41</v>
      </c>
      <c r="P55" s="4">
        <v>288</v>
      </c>
    </row>
    <row r="56" spans="1:16" x14ac:dyDescent="0.45">
      <c r="A56" s="54">
        <v>9</v>
      </c>
      <c r="B56" s="2" t="s">
        <v>191</v>
      </c>
      <c r="C56" s="2" t="s">
        <v>33</v>
      </c>
      <c r="D56" s="4">
        <v>817</v>
      </c>
      <c r="E56" s="4">
        <v>900</v>
      </c>
      <c r="F56" s="4">
        <v>187</v>
      </c>
      <c r="G56" s="4">
        <v>19250</v>
      </c>
      <c r="H56" s="4">
        <v>16365</v>
      </c>
      <c r="I56" s="4">
        <v>93</v>
      </c>
      <c r="J56" s="4">
        <v>25240</v>
      </c>
      <c r="K56" s="4">
        <v>3637</v>
      </c>
      <c r="L56" s="4">
        <v>3081</v>
      </c>
      <c r="M56" s="4">
        <v>2498</v>
      </c>
      <c r="N56" s="4">
        <v>3145</v>
      </c>
      <c r="O56" s="4">
        <v>1640</v>
      </c>
      <c r="P56" s="4">
        <v>3055</v>
      </c>
    </row>
    <row r="57" spans="1:16" x14ac:dyDescent="0.45">
      <c r="A57" s="54">
        <v>9</v>
      </c>
      <c r="B57" s="2" t="s">
        <v>191</v>
      </c>
      <c r="C57" s="2" t="s">
        <v>34</v>
      </c>
      <c r="D57" s="4">
        <v>767</v>
      </c>
      <c r="E57" s="4">
        <v>94</v>
      </c>
      <c r="F57" s="4">
        <v>329</v>
      </c>
      <c r="G57" s="4">
        <v>349</v>
      </c>
      <c r="H57" s="4">
        <v>302</v>
      </c>
      <c r="I57" s="4">
        <v>732</v>
      </c>
      <c r="J57" s="4">
        <v>912.5</v>
      </c>
      <c r="K57" s="4">
        <v>275</v>
      </c>
      <c r="L57" s="4">
        <v>55</v>
      </c>
      <c r="M57" s="4">
        <v>344</v>
      </c>
      <c r="N57" s="4">
        <v>183</v>
      </c>
      <c r="O57" s="4">
        <v>1643</v>
      </c>
      <c r="P57" s="4">
        <v>100</v>
      </c>
    </row>
    <row r="58" spans="1:16" x14ac:dyDescent="0.45">
      <c r="A58" s="54">
        <v>10</v>
      </c>
      <c r="B58" s="2" t="s">
        <v>192</v>
      </c>
      <c r="C58" s="2" t="s">
        <v>29</v>
      </c>
      <c r="D58" s="4">
        <v>236</v>
      </c>
      <c r="E58" s="4">
        <v>157</v>
      </c>
      <c r="F58" s="4">
        <v>315</v>
      </c>
      <c r="G58" s="4">
        <v>2883</v>
      </c>
      <c r="H58" s="4">
        <v>578</v>
      </c>
      <c r="I58" s="4">
        <v>224</v>
      </c>
      <c r="J58" s="4">
        <v>6095</v>
      </c>
      <c r="K58" s="4">
        <v>1248</v>
      </c>
      <c r="L58" s="4">
        <v>833</v>
      </c>
      <c r="M58" s="4">
        <v>365</v>
      </c>
      <c r="N58" s="4">
        <v>230</v>
      </c>
      <c r="O58" s="4">
        <v>553</v>
      </c>
      <c r="P58" s="4">
        <v>760</v>
      </c>
    </row>
    <row r="59" spans="1:16" x14ac:dyDescent="0.45">
      <c r="A59" s="54">
        <v>10</v>
      </c>
      <c r="B59" s="2" t="s">
        <v>192</v>
      </c>
      <c r="C59" s="2" t="s">
        <v>30</v>
      </c>
      <c r="D59" s="4">
        <v>0</v>
      </c>
      <c r="E59" s="4">
        <v>0</v>
      </c>
      <c r="F59" s="4">
        <v>0</v>
      </c>
      <c r="G59" s="4">
        <v>1621</v>
      </c>
      <c r="H59" s="4">
        <v>2310</v>
      </c>
      <c r="I59" s="4">
        <v>1</v>
      </c>
      <c r="J59" s="4">
        <v>410</v>
      </c>
      <c r="K59" s="4">
        <v>30</v>
      </c>
      <c r="L59" s="4">
        <v>0</v>
      </c>
      <c r="M59" s="4">
        <v>9</v>
      </c>
      <c r="N59" s="4">
        <v>303</v>
      </c>
      <c r="O59" s="4">
        <v>1200</v>
      </c>
      <c r="P59" s="4">
        <v>50</v>
      </c>
    </row>
    <row r="60" spans="1:16" x14ac:dyDescent="0.45">
      <c r="A60" s="54">
        <v>10</v>
      </c>
      <c r="B60" s="2" t="s">
        <v>192</v>
      </c>
      <c r="C60" s="2" t="s">
        <v>31</v>
      </c>
      <c r="D60" s="4">
        <v>1511</v>
      </c>
      <c r="E60" s="4">
        <v>3282</v>
      </c>
      <c r="F60" s="4">
        <v>22131</v>
      </c>
      <c r="G60" s="4">
        <v>6648</v>
      </c>
      <c r="H60" s="4">
        <v>5426</v>
      </c>
      <c r="I60" s="4">
        <v>3078</v>
      </c>
      <c r="J60" s="4">
        <v>4903</v>
      </c>
      <c r="K60" s="4">
        <v>10421</v>
      </c>
      <c r="L60" s="4">
        <v>7384</v>
      </c>
      <c r="M60" s="4">
        <v>2838</v>
      </c>
      <c r="N60" s="4">
        <v>9763</v>
      </c>
      <c r="O60" s="4">
        <v>3089</v>
      </c>
      <c r="P60" s="4">
        <v>2315</v>
      </c>
    </row>
    <row r="61" spans="1:16" x14ac:dyDescent="0.45">
      <c r="A61" s="54">
        <v>10</v>
      </c>
      <c r="B61" s="2" t="s">
        <v>192</v>
      </c>
      <c r="C61" s="2" t="s">
        <v>32</v>
      </c>
      <c r="D61" s="4">
        <v>679</v>
      </c>
      <c r="E61" s="4">
        <v>60</v>
      </c>
      <c r="F61" s="4">
        <v>479</v>
      </c>
      <c r="G61" s="4">
        <v>117</v>
      </c>
      <c r="H61" s="4">
        <v>539</v>
      </c>
      <c r="I61" s="4">
        <v>1816</v>
      </c>
      <c r="J61" s="4">
        <v>267</v>
      </c>
      <c r="K61" s="4">
        <v>191</v>
      </c>
      <c r="L61" s="4">
        <v>484</v>
      </c>
      <c r="M61" s="4">
        <v>32</v>
      </c>
      <c r="N61" s="4">
        <v>13</v>
      </c>
      <c r="O61" s="4">
        <v>56</v>
      </c>
      <c r="P61" s="4">
        <v>766</v>
      </c>
    </row>
    <row r="62" spans="1:16" x14ac:dyDescent="0.45">
      <c r="A62" s="54">
        <v>10</v>
      </c>
      <c r="B62" s="2" t="s">
        <v>192</v>
      </c>
      <c r="C62" s="2" t="s">
        <v>33</v>
      </c>
      <c r="D62" s="4">
        <v>-246</v>
      </c>
      <c r="E62" s="4">
        <v>700</v>
      </c>
      <c r="F62" s="4">
        <v>15</v>
      </c>
      <c r="G62" s="4">
        <v>6025</v>
      </c>
      <c r="H62" s="4">
        <v>8402</v>
      </c>
      <c r="I62" s="4">
        <v>7982</v>
      </c>
      <c r="J62" s="4">
        <v>361</v>
      </c>
      <c r="K62" s="4">
        <v>5184</v>
      </c>
      <c r="L62" s="4">
        <v>7523</v>
      </c>
      <c r="M62" s="4">
        <v>5023</v>
      </c>
      <c r="N62" s="4">
        <v>6613</v>
      </c>
      <c r="O62" s="4">
        <v>2872</v>
      </c>
      <c r="P62" s="4">
        <v>3444</v>
      </c>
    </row>
    <row r="63" spans="1:16" x14ac:dyDescent="0.45">
      <c r="A63" s="54">
        <v>10</v>
      </c>
      <c r="B63" s="2" t="s">
        <v>192</v>
      </c>
      <c r="C63" s="2" t="s">
        <v>34</v>
      </c>
      <c r="D63" s="4">
        <v>115</v>
      </c>
      <c r="E63" s="4">
        <v>357</v>
      </c>
      <c r="F63" s="4">
        <v>36</v>
      </c>
      <c r="G63" s="4">
        <v>448</v>
      </c>
      <c r="H63" s="4">
        <v>102</v>
      </c>
      <c r="I63" s="4">
        <v>104</v>
      </c>
      <c r="J63" s="4">
        <v>552</v>
      </c>
      <c r="K63" s="4">
        <v>190</v>
      </c>
      <c r="L63" s="4">
        <v>248</v>
      </c>
      <c r="M63" s="4">
        <v>295</v>
      </c>
      <c r="N63" s="4">
        <v>72</v>
      </c>
      <c r="O63" s="4">
        <v>1019</v>
      </c>
      <c r="P63" s="4">
        <v>409</v>
      </c>
    </row>
    <row r="64" spans="1:16" x14ac:dyDescent="0.45">
      <c r="A64" s="54">
        <v>11</v>
      </c>
      <c r="B64" s="2" t="s">
        <v>172</v>
      </c>
      <c r="C64" s="2" t="s">
        <v>29</v>
      </c>
      <c r="D64" s="4">
        <v>361</v>
      </c>
      <c r="E64" s="4">
        <v>29</v>
      </c>
      <c r="F64" s="4">
        <v>-176</v>
      </c>
      <c r="G64" s="4">
        <v>-61</v>
      </c>
      <c r="H64" s="4">
        <v>9</v>
      </c>
      <c r="I64" s="4">
        <v>90</v>
      </c>
      <c r="J64" s="4">
        <v>17</v>
      </c>
      <c r="K64" s="4">
        <v>63</v>
      </c>
      <c r="L64" s="4">
        <v>9</v>
      </c>
      <c r="M64" s="4">
        <v>23.5</v>
      </c>
      <c r="N64" s="4">
        <v>72</v>
      </c>
      <c r="O64" s="4">
        <v>187</v>
      </c>
      <c r="P64" s="4">
        <v>43</v>
      </c>
    </row>
    <row r="65" spans="1:16" x14ac:dyDescent="0.45">
      <c r="A65" s="54">
        <v>11</v>
      </c>
      <c r="B65" s="2" t="s">
        <v>172</v>
      </c>
      <c r="C65" s="2" t="s">
        <v>30</v>
      </c>
      <c r="D65" s="4">
        <v>2</v>
      </c>
      <c r="E65" s="4">
        <v>112</v>
      </c>
      <c r="F65" s="4">
        <v>26</v>
      </c>
      <c r="G65" s="4">
        <v>48</v>
      </c>
      <c r="H65" s="4">
        <v>61</v>
      </c>
      <c r="I65" s="4">
        <v>42</v>
      </c>
      <c r="J65" s="4">
        <v>20</v>
      </c>
      <c r="K65" s="4">
        <v>25</v>
      </c>
      <c r="L65" s="4">
        <v>8</v>
      </c>
      <c r="M65" s="4">
        <v>25.5</v>
      </c>
      <c r="N65" s="4">
        <v>92</v>
      </c>
      <c r="O65" s="4">
        <v>196</v>
      </c>
      <c r="P65" s="4">
        <v>116</v>
      </c>
    </row>
    <row r="66" spans="1:16" x14ac:dyDescent="0.45">
      <c r="A66" s="54">
        <v>11</v>
      </c>
      <c r="B66" s="2" t="s">
        <v>172</v>
      </c>
      <c r="C66" s="2" t="s">
        <v>31</v>
      </c>
      <c r="D66" s="4">
        <v>276</v>
      </c>
      <c r="E66" s="4">
        <v>114</v>
      </c>
      <c r="F66" s="4">
        <v>153</v>
      </c>
      <c r="G66" s="4">
        <v>168</v>
      </c>
      <c r="H66" s="4">
        <v>34</v>
      </c>
      <c r="I66" s="4">
        <v>205</v>
      </c>
      <c r="J66" s="4">
        <v>216</v>
      </c>
      <c r="K66" s="4">
        <v>320</v>
      </c>
      <c r="L66" s="4">
        <v>258</v>
      </c>
      <c r="M66" s="4">
        <v>212</v>
      </c>
      <c r="N66" s="4">
        <v>414</v>
      </c>
      <c r="O66" s="4">
        <v>896</v>
      </c>
      <c r="P66" s="4">
        <v>230</v>
      </c>
    </row>
    <row r="67" spans="1:16" x14ac:dyDescent="0.45">
      <c r="A67" s="54">
        <v>11</v>
      </c>
      <c r="B67" s="2" t="s">
        <v>172</v>
      </c>
      <c r="C67" s="2" t="s">
        <v>32</v>
      </c>
      <c r="D67" s="4">
        <v>144</v>
      </c>
      <c r="E67" s="4">
        <v>369</v>
      </c>
      <c r="F67" s="4">
        <v>167</v>
      </c>
      <c r="G67" s="4">
        <v>92</v>
      </c>
      <c r="H67" s="4">
        <v>43</v>
      </c>
      <c r="I67" s="4">
        <v>25</v>
      </c>
      <c r="J67" s="4">
        <v>49</v>
      </c>
      <c r="K67" s="4">
        <v>75</v>
      </c>
      <c r="L67" s="4">
        <v>78</v>
      </c>
      <c r="M67" s="4">
        <v>50</v>
      </c>
      <c r="N67" s="4">
        <v>108</v>
      </c>
      <c r="O67" s="4">
        <v>198</v>
      </c>
      <c r="P67" s="4">
        <v>230</v>
      </c>
    </row>
    <row r="68" spans="1:16" x14ac:dyDescent="0.45">
      <c r="A68" s="54">
        <v>11</v>
      </c>
      <c r="B68" s="2" t="s">
        <v>172</v>
      </c>
      <c r="C68" s="2" t="s">
        <v>33</v>
      </c>
      <c r="D68" s="4">
        <v>102</v>
      </c>
      <c r="E68" s="4">
        <v>405</v>
      </c>
      <c r="F68" s="4">
        <v>505</v>
      </c>
      <c r="G68" s="4">
        <v>98</v>
      </c>
      <c r="H68" s="4">
        <v>1</v>
      </c>
      <c r="I68" s="4">
        <v>14</v>
      </c>
      <c r="J68" s="4">
        <v>72</v>
      </c>
      <c r="K68" s="4">
        <v>447</v>
      </c>
      <c r="L68" s="4">
        <v>708</v>
      </c>
      <c r="M68" s="4">
        <v>151</v>
      </c>
      <c r="N68" s="4">
        <v>422</v>
      </c>
      <c r="O68" s="4">
        <v>507</v>
      </c>
      <c r="P68" s="4">
        <v>52</v>
      </c>
    </row>
    <row r="69" spans="1:16" x14ac:dyDescent="0.45">
      <c r="A69" s="54">
        <v>11</v>
      </c>
      <c r="B69" s="2" t="s">
        <v>172</v>
      </c>
      <c r="C69" s="2" t="s">
        <v>34</v>
      </c>
      <c r="D69" s="4">
        <v>1</v>
      </c>
      <c r="E69" s="4">
        <v>47</v>
      </c>
      <c r="F69" s="4">
        <v>0</v>
      </c>
      <c r="G69" s="4">
        <v>0</v>
      </c>
      <c r="H69" s="4">
        <v>0</v>
      </c>
      <c r="I69" s="4">
        <v>0</v>
      </c>
      <c r="J69" s="4">
        <v>2</v>
      </c>
      <c r="K69" s="4">
        <v>1</v>
      </c>
      <c r="L69" s="4">
        <v>0</v>
      </c>
      <c r="M69" s="4">
        <v>0</v>
      </c>
      <c r="N69" s="4">
        <v>3</v>
      </c>
      <c r="O69" s="4">
        <v>13</v>
      </c>
      <c r="P69" s="4">
        <v>0</v>
      </c>
    </row>
    <row r="70" spans="1:16" x14ac:dyDescent="0.45">
      <c r="A70" s="54">
        <v>12</v>
      </c>
      <c r="B70" s="2" t="s">
        <v>174</v>
      </c>
      <c r="C70" s="2" t="s">
        <v>29</v>
      </c>
      <c r="D70" s="4">
        <v>150</v>
      </c>
      <c r="E70" s="4">
        <v>113</v>
      </c>
      <c r="F70" s="4">
        <v>13</v>
      </c>
      <c r="G70" s="4">
        <v>180</v>
      </c>
      <c r="H70" s="4">
        <v>157</v>
      </c>
      <c r="I70" s="4">
        <v>103</v>
      </c>
      <c r="J70" s="4">
        <v>65</v>
      </c>
      <c r="K70" s="4">
        <v>198</v>
      </c>
      <c r="L70" s="4">
        <v>52</v>
      </c>
      <c r="M70" s="4">
        <v>37</v>
      </c>
      <c r="N70" s="4">
        <v>65</v>
      </c>
      <c r="O70" s="4">
        <v>82</v>
      </c>
      <c r="P70" s="4">
        <v>127</v>
      </c>
    </row>
    <row r="71" spans="1:16" x14ac:dyDescent="0.45">
      <c r="A71" s="54">
        <v>12</v>
      </c>
      <c r="B71" s="2" t="s">
        <v>174</v>
      </c>
      <c r="C71" s="2" t="s">
        <v>30</v>
      </c>
      <c r="D71" s="4">
        <v>1512</v>
      </c>
      <c r="E71" s="4">
        <v>4</v>
      </c>
      <c r="F71" s="4">
        <v>281</v>
      </c>
      <c r="G71" s="4">
        <v>345</v>
      </c>
      <c r="H71" s="4">
        <v>479</v>
      </c>
      <c r="I71" s="4">
        <v>98</v>
      </c>
      <c r="J71" s="4">
        <v>196</v>
      </c>
      <c r="K71" s="4">
        <v>153</v>
      </c>
      <c r="L71" s="4">
        <v>199</v>
      </c>
      <c r="M71" s="4">
        <v>107</v>
      </c>
      <c r="N71" s="4">
        <v>111</v>
      </c>
      <c r="O71" s="4">
        <v>307</v>
      </c>
      <c r="P71" s="4">
        <v>151</v>
      </c>
    </row>
    <row r="72" spans="1:16" x14ac:dyDescent="0.45">
      <c r="A72" s="54">
        <v>12</v>
      </c>
      <c r="B72" s="2" t="s">
        <v>174</v>
      </c>
      <c r="C72" s="2" t="s">
        <v>31</v>
      </c>
      <c r="D72" s="4">
        <v>961</v>
      </c>
      <c r="E72" s="4">
        <v>828</v>
      </c>
      <c r="F72" s="4">
        <v>938</v>
      </c>
      <c r="G72" s="4">
        <v>944</v>
      </c>
      <c r="H72" s="4">
        <v>587</v>
      </c>
      <c r="I72" s="4">
        <v>706</v>
      </c>
      <c r="J72" s="4">
        <v>1020</v>
      </c>
      <c r="K72" s="4">
        <v>990</v>
      </c>
      <c r="L72" s="4">
        <v>881</v>
      </c>
      <c r="M72" s="4">
        <v>1358</v>
      </c>
      <c r="N72" s="4">
        <v>633</v>
      </c>
      <c r="O72" s="4">
        <v>1814</v>
      </c>
      <c r="P72" s="4">
        <v>945</v>
      </c>
    </row>
    <row r="73" spans="1:16" x14ac:dyDescent="0.45">
      <c r="A73" s="54">
        <v>12</v>
      </c>
      <c r="B73" s="2" t="s">
        <v>174</v>
      </c>
      <c r="C73" s="2" t="s">
        <v>32</v>
      </c>
      <c r="D73" s="4">
        <v>360</v>
      </c>
      <c r="E73" s="4">
        <v>793</v>
      </c>
      <c r="F73" s="4">
        <v>137</v>
      </c>
      <c r="G73" s="4">
        <v>58</v>
      </c>
      <c r="H73" s="4">
        <v>34</v>
      </c>
      <c r="I73" s="4">
        <v>133</v>
      </c>
      <c r="J73" s="4">
        <v>204</v>
      </c>
      <c r="K73" s="4">
        <v>107</v>
      </c>
      <c r="L73" s="4">
        <v>149</v>
      </c>
      <c r="M73" s="4">
        <v>88</v>
      </c>
      <c r="N73" s="4">
        <v>339</v>
      </c>
      <c r="O73" s="4">
        <v>177</v>
      </c>
      <c r="P73" s="4">
        <v>68</v>
      </c>
    </row>
    <row r="74" spans="1:16" x14ac:dyDescent="0.45">
      <c r="A74" s="54">
        <v>12</v>
      </c>
      <c r="B74" s="2" t="s">
        <v>174</v>
      </c>
      <c r="C74" s="2" t="s">
        <v>33</v>
      </c>
      <c r="D74" s="4">
        <v>0</v>
      </c>
      <c r="E74" s="4">
        <v>21</v>
      </c>
      <c r="F74" s="4">
        <v>0</v>
      </c>
      <c r="G74" s="4">
        <v>0</v>
      </c>
      <c r="H74" s="4">
        <v>4</v>
      </c>
      <c r="I74" s="4">
        <v>10</v>
      </c>
      <c r="J74" s="4">
        <v>1</v>
      </c>
      <c r="K74" s="4">
        <v>0</v>
      </c>
      <c r="L74" s="4">
        <v>13</v>
      </c>
      <c r="M74" s="4">
        <v>0</v>
      </c>
      <c r="N74" s="4">
        <v>0</v>
      </c>
      <c r="O74" s="4">
        <v>0</v>
      </c>
      <c r="P74" s="3"/>
    </row>
    <row r="75" spans="1:16" x14ac:dyDescent="0.45">
      <c r="A75" s="54">
        <v>12</v>
      </c>
      <c r="B75" s="2" t="s">
        <v>174</v>
      </c>
      <c r="C75" s="2" t="s">
        <v>34</v>
      </c>
      <c r="D75" s="4">
        <v>1</v>
      </c>
      <c r="E75" s="4">
        <v>142</v>
      </c>
      <c r="F75" s="4">
        <v>11</v>
      </c>
      <c r="G75" s="4">
        <v>3</v>
      </c>
      <c r="H75" s="4">
        <v>14</v>
      </c>
      <c r="I75" s="4">
        <v>12</v>
      </c>
      <c r="J75" s="4">
        <v>0</v>
      </c>
      <c r="K75" s="4">
        <v>10</v>
      </c>
      <c r="L75" s="4">
        <v>37</v>
      </c>
      <c r="M75" s="4">
        <v>4</v>
      </c>
      <c r="N75" s="4">
        <v>42</v>
      </c>
      <c r="O75" s="4">
        <v>33</v>
      </c>
      <c r="P75" s="4">
        <v>38</v>
      </c>
    </row>
    <row r="76" spans="1:16" x14ac:dyDescent="0.45">
      <c r="A76" s="54">
        <v>13</v>
      </c>
      <c r="B76" s="2" t="s">
        <v>176</v>
      </c>
      <c r="C76" s="2" t="s">
        <v>29</v>
      </c>
      <c r="D76" s="4">
        <v>27</v>
      </c>
      <c r="E76" s="4">
        <v>72</v>
      </c>
      <c r="F76" s="4">
        <v>34</v>
      </c>
      <c r="G76" s="4">
        <v>53</v>
      </c>
      <c r="H76" s="4">
        <v>24</v>
      </c>
      <c r="I76" s="4">
        <v>40</v>
      </c>
      <c r="J76" s="4">
        <v>28</v>
      </c>
      <c r="K76" s="4">
        <v>35</v>
      </c>
      <c r="L76" s="4">
        <v>20</v>
      </c>
      <c r="M76" s="4">
        <v>37</v>
      </c>
      <c r="N76" s="4">
        <v>28</v>
      </c>
      <c r="O76" s="4">
        <v>38</v>
      </c>
      <c r="P76" s="4">
        <v>16</v>
      </c>
    </row>
    <row r="77" spans="1:16" x14ac:dyDescent="0.45">
      <c r="A77" s="54">
        <v>13</v>
      </c>
      <c r="B77" s="2" t="s">
        <v>176</v>
      </c>
      <c r="C77" s="2" t="s">
        <v>30</v>
      </c>
      <c r="D77" s="4">
        <v>185</v>
      </c>
      <c r="E77" s="4">
        <v>177</v>
      </c>
      <c r="F77" s="4">
        <v>112</v>
      </c>
      <c r="G77" s="4">
        <v>147</v>
      </c>
      <c r="H77" s="4">
        <v>89</v>
      </c>
      <c r="I77" s="4">
        <v>124</v>
      </c>
      <c r="J77" s="4">
        <v>143</v>
      </c>
      <c r="K77" s="4">
        <v>124</v>
      </c>
      <c r="L77" s="4">
        <v>61</v>
      </c>
      <c r="M77" s="4">
        <v>116</v>
      </c>
      <c r="N77" s="4">
        <v>63</v>
      </c>
      <c r="O77" s="4">
        <v>112</v>
      </c>
      <c r="P77" s="4">
        <v>135</v>
      </c>
    </row>
    <row r="78" spans="1:16" x14ac:dyDescent="0.45">
      <c r="A78" s="54">
        <v>13</v>
      </c>
      <c r="B78" s="2" t="s">
        <v>176</v>
      </c>
      <c r="C78" s="2" t="s">
        <v>31</v>
      </c>
      <c r="D78" s="4">
        <v>153</v>
      </c>
      <c r="E78" s="4">
        <v>242</v>
      </c>
      <c r="F78" s="4">
        <v>103</v>
      </c>
      <c r="G78" s="4">
        <v>231</v>
      </c>
      <c r="H78" s="4">
        <v>158</v>
      </c>
      <c r="I78" s="4">
        <v>118</v>
      </c>
      <c r="J78" s="4">
        <v>167</v>
      </c>
      <c r="K78" s="4">
        <v>142</v>
      </c>
      <c r="L78" s="4">
        <v>101</v>
      </c>
      <c r="M78" s="4">
        <v>114</v>
      </c>
      <c r="N78" s="4">
        <v>128</v>
      </c>
      <c r="O78" s="4">
        <v>181</v>
      </c>
      <c r="P78" s="4">
        <v>108</v>
      </c>
    </row>
    <row r="79" spans="1:16" x14ac:dyDescent="0.45">
      <c r="A79" s="54">
        <v>13</v>
      </c>
      <c r="B79" s="2" t="s">
        <v>176</v>
      </c>
      <c r="C79" s="2" t="s">
        <v>32</v>
      </c>
      <c r="D79" s="4">
        <v>35</v>
      </c>
      <c r="E79" s="4">
        <v>37</v>
      </c>
      <c r="F79" s="4">
        <v>64</v>
      </c>
      <c r="G79" s="4">
        <v>56</v>
      </c>
      <c r="H79" s="4">
        <v>54</v>
      </c>
      <c r="I79" s="4">
        <v>54</v>
      </c>
      <c r="J79" s="4">
        <v>76</v>
      </c>
      <c r="K79" s="4">
        <v>54</v>
      </c>
      <c r="L79" s="4">
        <v>32</v>
      </c>
      <c r="M79" s="4">
        <v>49</v>
      </c>
      <c r="N79" s="4">
        <v>66</v>
      </c>
      <c r="O79" s="4">
        <v>69</v>
      </c>
      <c r="P79" s="4">
        <v>34</v>
      </c>
    </row>
    <row r="80" spans="1:16" x14ac:dyDescent="0.45">
      <c r="A80" s="54">
        <v>13</v>
      </c>
      <c r="B80" s="2" t="s">
        <v>176</v>
      </c>
      <c r="C80" s="2" t="s">
        <v>33</v>
      </c>
      <c r="D80" s="4">
        <v>61</v>
      </c>
      <c r="E80" s="4">
        <v>74</v>
      </c>
      <c r="F80" s="4">
        <v>49</v>
      </c>
      <c r="G80" s="4">
        <v>41</v>
      </c>
      <c r="H80" s="4">
        <v>35</v>
      </c>
      <c r="I80" s="4">
        <v>29</v>
      </c>
      <c r="J80" s="4">
        <v>61</v>
      </c>
      <c r="K80" s="4">
        <v>37</v>
      </c>
      <c r="L80" s="4">
        <v>24</v>
      </c>
      <c r="M80" s="4">
        <v>25</v>
      </c>
      <c r="N80" s="4">
        <v>25</v>
      </c>
      <c r="O80" s="4">
        <v>49</v>
      </c>
      <c r="P80" s="4">
        <v>42</v>
      </c>
    </row>
    <row r="81" spans="1:16" x14ac:dyDescent="0.45">
      <c r="A81" s="54">
        <v>13</v>
      </c>
      <c r="B81" s="2" t="s">
        <v>176</v>
      </c>
      <c r="C81" s="2" t="s">
        <v>34</v>
      </c>
      <c r="D81" s="4">
        <v>4</v>
      </c>
      <c r="E81" s="4">
        <v>4</v>
      </c>
      <c r="F81" s="4">
        <v>7</v>
      </c>
      <c r="G81" s="4">
        <v>2</v>
      </c>
      <c r="H81" s="4">
        <v>1</v>
      </c>
      <c r="I81" s="4">
        <v>2</v>
      </c>
      <c r="J81" s="4">
        <v>0</v>
      </c>
      <c r="K81" s="4">
        <v>0</v>
      </c>
      <c r="L81" s="4">
        <v>4</v>
      </c>
      <c r="M81" s="4">
        <v>0</v>
      </c>
      <c r="N81" s="4">
        <v>3</v>
      </c>
      <c r="O81" s="4">
        <v>-1</v>
      </c>
      <c r="P81" s="4">
        <v>0</v>
      </c>
    </row>
    <row r="82" spans="1:16" x14ac:dyDescent="0.45">
      <c r="A82" s="54">
        <v>14</v>
      </c>
      <c r="B82" s="2" t="s">
        <v>178</v>
      </c>
      <c r="C82" s="2" t="s">
        <v>29</v>
      </c>
      <c r="D82" s="3"/>
      <c r="E82" s="3"/>
      <c r="F82" s="3"/>
      <c r="G82" s="3"/>
      <c r="H82" s="3"/>
      <c r="I82" s="4">
        <v>10</v>
      </c>
      <c r="J82" s="4">
        <v>10</v>
      </c>
      <c r="K82" s="4">
        <v>6</v>
      </c>
      <c r="L82" s="4">
        <v>35</v>
      </c>
      <c r="M82" s="4">
        <v>0</v>
      </c>
      <c r="N82" s="4">
        <v>0</v>
      </c>
      <c r="O82" s="4">
        <v>0</v>
      </c>
      <c r="P82" s="4">
        <v>0</v>
      </c>
    </row>
    <row r="83" spans="1:16" x14ac:dyDescent="0.45">
      <c r="A83" s="54">
        <v>14</v>
      </c>
      <c r="B83" s="2" t="s">
        <v>178</v>
      </c>
      <c r="C83" s="2" t="s">
        <v>30</v>
      </c>
      <c r="D83" s="3"/>
      <c r="E83" s="3"/>
      <c r="F83" s="3"/>
      <c r="G83" s="3"/>
      <c r="H83" s="3"/>
      <c r="I83" s="3"/>
      <c r="J83" s="4">
        <v>3</v>
      </c>
      <c r="K83" s="4">
        <v>6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</row>
    <row r="84" spans="1:16" x14ac:dyDescent="0.45">
      <c r="A84" s="54">
        <v>14</v>
      </c>
      <c r="B84" s="2" t="s">
        <v>178</v>
      </c>
      <c r="C84" s="2" t="s">
        <v>31</v>
      </c>
      <c r="D84" s="3"/>
      <c r="E84" s="3"/>
      <c r="F84" s="3"/>
      <c r="G84" s="3"/>
      <c r="H84" s="4">
        <v>186</v>
      </c>
      <c r="I84" s="4">
        <v>234</v>
      </c>
      <c r="J84" s="4">
        <v>276</v>
      </c>
      <c r="K84" s="4">
        <v>1521</v>
      </c>
      <c r="L84" s="4">
        <v>3582</v>
      </c>
      <c r="M84" s="4">
        <v>10291</v>
      </c>
      <c r="N84" s="4">
        <v>18436</v>
      </c>
      <c r="O84" s="4">
        <v>6482</v>
      </c>
      <c r="P84" s="4">
        <v>6327</v>
      </c>
    </row>
    <row r="85" spans="1:16" x14ac:dyDescent="0.45">
      <c r="A85" s="54">
        <v>14</v>
      </c>
      <c r="B85" s="2" t="s">
        <v>178</v>
      </c>
      <c r="C85" s="2" t="s">
        <v>32</v>
      </c>
      <c r="D85" s="3"/>
      <c r="E85" s="3"/>
      <c r="F85" s="3"/>
      <c r="G85" s="3"/>
      <c r="H85" s="3"/>
      <c r="I85" s="3"/>
      <c r="J85" s="4">
        <v>3</v>
      </c>
      <c r="K85" s="4">
        <v>12</v>
      </c>
      <c r="L85" s="4">
        <v>15</v>
      </c>
      <c r="M85" s="4">
        <v>0</v>
      </c>
      <c r="N85" s="4">
        <v>0</v>
      </c>
      <c r="O85" s="4">
        <v>0</v>
      </c>
      <c r="P85" s="4">
        <v>0</v>
      </c>
    </row>
    <row r="86" spans="1:16" x14ac:dyDescent="0.45">
      <c r="A86" s="54">
        <v>14</v>
      </c>
      <c r="B86" s="2" t="s">
        <v>178</v>
      </c>
      <c r="C86" s="2" t="s">
        <v>33</v>
      </c>
      <c r="D86" s="3"/>
      <c r="E86" s="3"/>
      <c r="F86" s="3"/>
      <c r="G86" s="3"/>
      <c r="H86" s="4">
        <v>0</v>
      </c>
      <c r="I86" s="4">
        <v>0</v>
      </c>
      <c r="J86" s="4">
        <v>0</v>
      </c>
      <c r="K86" s="4">
        <v>13</v>
      </c>
      <c r="L86" s="4">
        <v>5</v>
      </c>
      <c r="M86" s="4">
        <v>0</v>
      </c>
      <c r="N86" s="4">
        <v>0</v>
      </c>
      <c r="O86" s="4">
        <v>0</v>
      </c>
      <c r="P86" s="4">
        <v>0</v>
      </c>
    </row>
    <row r="87" spans="1:16" x14ac:dyDescent="0.45">
      <c r="A87" s="54">
        <v>14</v>
      </c>
      <c r="B87" s="2" t="s">
        <v>178</v>
      </c>
      <c r="C87" s="2" t="s">
        <v>34</v>
      </c>
      <c r="D87" s="3"/>
      <c r="E87" s="3"/>
      <c r="F87" s="3"/>
      <c r="G87" s="3"/>
      <c r="H87" s="4">
        <v>19</v>
      </c>
      <c r="I87" s="4">
        <v>2</v>
      </c>
      <c r="J87" s="4">
        <v>23</v>
      </c>
      <c r="K87" s="4">
        <v>6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</row>
    <row r="88" spans="1:16" x14ac:dyDescent="0.45">
      <c r="A88" s="54">
        <v>15</v>
      </c>
      <c r="B88" s="2" t="s">
        <v>51</v>
      </c>
      <c r="C88" s="2" t="s">
        <v>29</v>
      </c>
      <c r="D88" s="4">
        <v>56</v>
      </c>
      <c r="E88" s="4">
        <v>108</v>
      </c>
      <c r="F88" s="4">
        <v>107</v>
      </c>
      <c r="G88" s="4">
        <v>293.8664</v>
      </c>
      <c r="H88" s="4">
        <v>86.5</v>
      </c>
      <c r="I88" s="4">
        <v>92</v>
      </c>
      <c r="J88" s="4">
        <v>128</v>
      </c>
      <c r="K88" s="4">
        <v>172</v>
      </c>
      <c r="L88" s="4">
        <v>136</v>
      </c>
      <c r="M88" s="4">
        <v>108</v>
      </c>
      <c r="N88" s="4">
        <v>124</v>
      </c>
      <c r="O88" s="4">
        <v>83</v>
      </c>
      <c r="P88" s="4">
        <v>55</v>
      </c>
    </row>
    <row r="89" spans="1:16" x14ac:dyDescent="0.45">
      <c r="A89" s="54">
        <v>15</v>
      </c>
      <c r="B89" s="2" t="s">
        <v>51</v>
      </c>
      <c r="C89" s="2" t="s">
        <v>30</v>
      </c>
      <c r="D89" s="4">
        <v>-35</v>
      </c>
      <c r="E89" s="4">
        <v>23</v>
      </c>
      <c r="F89" s="4">
        <v>44</v>
      </c>
      <c r="G89" s="4">
        <v>67</v>
      </c>
      <c r="H89" s="4">
        <v>48.5</v>
      </c>
      <c r="I89" s="4">
        <v>61</v>
      </c>
      <c r="J89" s="4">
        <v>103</v>
      </c>
      <c r="K89" s="4">
        <v>109</v>
      </c>
      <c r="L89" s="4">
        <v>36</v>
      </c>
      <c r="M89" s="4">
        <v>45</v>
      </c>
      <c r="N89" s="4">
        <v>97</v>
      </c>
      <c r="O89" s="4">
        <v>107</v>
      </c>
      <c r="P89" s="4">
        <v>50</v>
      </c>
    </row>
    <row r="90" spans="1:16" x14ac:dyDescent="0.45">
      <c r="A90" s="54">
        <v>15</v>
      </c>
      <c r="B90" s="2" t="s">
        <v>51</v>
      </c>
      <c r="C90" s="2" t="s">
        <v>31</v>
      </c>
      <c r="D90" s="4">
        <v>336</v>
      </c>
      <c r="E90" s="4">
        <v>408</v>
      </c>
      <c r="F90" s="4">
        <v>585</v>
      </c>
      <c r="G90" s="4">
        <v>501</v>
      </c>
      <c r="H90" s="4">
        <v>394</v>
      </c>
      <c r="I90" s="4">
        <v>862</v>
      </c>
      <c r="J90" s="4">
        <v>635</v>
      </c>
      <c r="K90" s="4">
        <v>641</v>
      </c>
      <c r="L90" s="4">
        <v>535</v>
      </c>
      <c r="M90" s="4">
        <v>390</v>
      </c>
      <c r="N90" s="4">
        <v>375</v>
      </c>
      <c r="O90" s="4">
        <v>590</v>
      </c>
      <c r="P90" s="4">
        <v>364</v>
      </c>
    </row>
    <row r="91" spans="1:16" x14ac:dyDescent="0.45">
      <c r="A91" s="54">
        <v>15</v>
      </c>
      <c r="B91" s="2" t="s">
        <v>51</v>
      </c>
      <c r="C91" s="2" t="s">
        <v>32</v>
      </c>
      <c r="D91" s="4">
        <v>132</v>
      </c>
      <c r="E91" s="4">
        <v>79</v>
      </c>
      <c r="F91" s="4">
        <v>104</v>
      </c>
      <c r="G91" s="4">
        <v>63</v>
      </c>
      <c r="H91" s="4">
        <v>48</v>
      </c>
      <c r="I91" s="4">
        <v>17</v>
      </c>
      <c r="J91" s="4">
        <v>128</v>
      </c>
      <c r="K91" s="4">
        <v>82.5</v>
      </c>
      <c r="L91" s="4">
        <v>112</v>
      </c>
      <c r="M91" s="4">
        <v>139</v>
      </c>
      <c r="N91" s="4">
        <v>47</v>
      </c>
      <c r="O91" s="4">
        <v>67</v>
      </c>
      <c r="P91" s="4">
        <v>82</v>
      </c>
    </row>
    <row r="92" spans="1:16" x14ac:dyDescent="0.45">
      <c r="A92" s="54">
        <v>15</v>
      </c>
      <c r="B92" s="2" t="s">
        <v>51</v>
      </c>
      <c r="C92" s="2" t="s">
        <v>33</v>
      </c>
      <c r="D92" s="4">
        <v>10</v>
      </c>
      <c r="E92" s="4">
        <v>12</v>
      </c>
      <c r="F92" s="4">
        <v>2</v>
      </c>
      <c r="G92" s="4">
        <v>8</v>
      </c>
      <c r="H92" s="4">
        <v>5</v>
      </c>
      <c r="I92" s="4">
        <v>39</v>
      </c>
      <c r="J92" s="4">
        <v>297</v>
      </c>
      <c r="K92" s="4">
        <v>45</v>
      </c>
      <c r="L92" s="4">
        <v>5</v>
      </c>
      <c r="M92" s="4">
        <v>3</v>
      </c>
      <c r="N92" s="4">
        <v>14</v>
      </c>
      <c r="O92" s="4">
        <v>9</v>
      </c>
      <c r="P92" s="4">
        <v>21</v>
      </c>
    </row>
    <row r="93" spans="1:16" x14ac:dyDescent="0.45">
      <c r="A93" s="54">
        <v>15</v>
      </c>
      <c r="B93" s="2" t="s">
        <v>51</v>
      </c>
      <c r="C93" s="2" t="s">
        <v>34</v>
      </c>
      <c r="D93" s="4">
        <v>3</v>
      </c>
      <c r="E93" s="4">
        <v>22</v>
      </c>
      <c r="F93" s="4">
        <v>26</v>
      </c>
      <c r="G93" s="4">
        <v>24.133600000000001</v>
      </c>
      <c r="H93" s="4">
        <v>33</v>
      </c>
      <c r="I93" s="4">
        <v>42</v>
      </c>
      <c r="J93" s="4">
        <v>25</v>
      </c>
      <c r="K93" s="4">
        <v>22.5</v>
      </c>
      <c r="L93" s="4">
        <v>38</v>
      </c>
      <c r="M93" s="4">
        <v>49</v>
      </c>
      <c r="N93" s="4">
        <v>33</v>
      </c>
      <c r="O93" s="4">
        <v>32</v>
      </c>
      <c r="P93" s="4">
        <v>28</v>
      </c>
    </row>
    <row r="94" spans="1:16" x14ac:dyDescent="0.45">
      <c r="A94" s="54">
        <v>16</v>
      </c>
      <c r="B94" s="2" t="s">
        <v>52</v>
      </c>
      <c r="C94" s="2" t="s">
        <v>29</v>
      </c>
      <c r="D94" s="4">
        <v>53</v>
      </c>
      <c r="E94" s="4">
        <v>81</v>
      </c>
      <c r="F94" s="4">
        <v>67</v>
      </c>
      <c r="G94" s="4">
        <v>61</v>
      </c>
      <c r="H94" s="4">
        <v>82</v>
      </c>
      <c r="I94" s="4">
        <v>86</v>
      </c>
      <c r="J94" s="4">
        <v>51</v>
      </c>
      <c r="K94" s="4">
        <v>165</v>
      </c>
      <c r="L94" s="4">
        <v>90</v>
      </c>
      <c r="M94" s="4">
        <v>95</v>
      </c>
      <c r="N94" s="4">
        <v>102</v>
      </c>
      <c r="O94" s="4">
        <v>73</v>
      </c>
      <c r="P94" s="4">
        <v>45</v>
      </c>
    </row>
    <row r="95" spans="1:16" x14ac:dyDescent="0.45">
      <c r="A95" s="54">
        <v>16</v>
      </c>
      <c r="B95" s="2" t="s">
        <v>52</v>
      </c>
      <c r="C95" s="2" t="s">
        <v>30</v>
      </c>
      <c r="D95" s="4">
        <v>31</v>
      </c>
      <c r="E95" s="4">
        <v>47</v>
      </c>
      <c r="F95" s="4">
        <v>89</v>
      </c>
      <c r="G95" s="4">
        <v>33</v>
      </c>
      <c r="H95" s="4">
        <v>17</v>
      </c>
      <c r="I95" s="4">
        <v>26</v>
      </c>
      <c r="J95" s="4">
        <v>37</v>
      </c>
      <c r="K95" s="4">
        <v>18</v>
      </c>
      <c r="L95" s="4">
        <v>62</v>
      </c>
      <c r="M95" s="4">
        <v>43</v>
      </c>
      <c r="N95" s="4">
        <v>37</v>
      </c>
      <c r="O95" s="4">
        <v>71</v>
      </c>
      <c r="P95" s="4">
        <v>68</v>
      </c>
    </row>
    <row r="96" spans="1:16" x14ac:dyDescent="0.45">
      <c r="A96" s="54">
        <v>16</v>
      </c>
      <c r="B96" s="2" t="s">
        <v>52</v>
      </c>
      <c r="C96" s="2" t="s">
        <v>31</v>
      </c>
      <c r="D96" s="4">
        <v>381</v>
      </c>
      <c r="E96" s="4">
        <v>302</v>
      </c>
      <c r="F96" s="4">
        <v>289</v>
      </c>
      <c r="G96" s="4">
        <v>347</v>
      </c>
      <c r="H96" s="4">
        <v>350</v>
      </c>
      <c r="I96" s="4">
        <v>293</v>
      </c>
      <c r="J96" s="4">
        <v>290</v>
      </c>
      <c r="K96" s="4">
        <v>257</v>
      </c>
      <c r="L96" s="4">
        <v>349</v>
      </c>
      <c r="M96" s="4">
        <v>370</v>
      </c>
      <c r="N96" s="4">
        <v>312</v>
      </c>
      <c r="O96" s="4">
        <v>413</v>
      </c>
      <c r="P96" s="4">
        <v>341</v>
      </c>
    </row>
    <row r="97" spans="1:16" x14ac:dyDescent="0.45">
      <c r="A97" s="54">
        <v>16</v>
      </c>
      <c r="B97" s="2" t="s">
        <v>52</v>
      </c>
      <c r="C97" s="2" t="s">
        <v>32</v>
      </c>
      <c r="D97" s="4">
        <v>74</v>
      </c>
      <c r="E97" s="4">
        <v>144</v>
      </c>
      <c r="F97" s="4">
        <v>68</v>
      </c>
      <c r="G97" s="4">
        <v>191</v>
      </c>
      <c r="H97" s="4">
        <v>76</v>
      </c>
      <c r="I97" s="4">
        <v>82</v>
      </c>
      <c r="J97" s="4">
        <v>79</v>
      </c>
      <c r="K97" s="4">
        <v>60</v>
      </c>
      <c r="L97" s="4">
        <v>60</v>
      </c>
      <c r="M97" s="4">
        <v>94</v>
      </c>
      <c r="N97" s="4">
        <v>79</v>
      </c>
      <c r="O97" s="4">
        <v>41</v>
      </c>
      <c r="P97" s="4">
        <v>39</v>
      </c>
    </row>
    <row r="98" spans="1:16" x14ac:dyDescent="0.45">
      <c r="A98" s="54">
        <v>16</v>
      </c>
      <c r="B98" s="2" t="s">
        <v>52</v>
      </c>
      <c r="C98" s="2" t="s">
        <v>33</v>
      </c>
      <c r="D98" s="4">
        <v>8</v>
      </c>
      <c r="E98" s="4">
        <v>8</v>
      </c>
      <c r="F98" s="4">
        <v>5</v>
      </c>
      <c r="G98" s="4">
        <v>16</v>
      </c>
      <c r="H98" s="4">
        <v>15</v>
      </c>
      <c r="I98" s="4">
        <v>2</v>
      </c>
      <c r="J98" s="4">
        <v>40</v>
      </c>
      <c r="K98" s="4">
        <v>22</v>
      </c>
      <c r="L98" s="4">
        <v>25</v>
      </c>
      <c r="M98" s="4">
        <v>20</v>
      </c>
      <c r="N98" s="4">
        <v>15</v>
      </c>
      <c r="O98" s="4">
        <v>39</v>
      </c>
      <c r="P98" s="4">
        <v>15</v>
      </c>
    </row>
    <row r="99" spans="1:16" x14ac:dyDescent="0.45">
      <c r="A99" s="54">
        <v>16</v>
      </c>
      <c r="B99" s="2" t="s">
        <v>52</v>
      </c>
      <c r="C99" s="2" t="s">
        <v>34</v>
      </c>
      <c r="D99" s="4">
        <v>18</v>
      </c>
      <c r="E99" s="4">
        <v>28</v>
      </c>
      <c r="F99" s="4">
        <v>18</v>
      </c>
      <c r="G99" s="4">
        <v>14</v>
      </c>
      <c r="H99" s="4">
        <v>15</v>
      </c>
      <c r="I99" s="4">
        <v>22</v>
      </c>
      <c r="J99" s="4">
        <v>22</v>
      </c>
      <c r="K99" s="4">
        <v>18</v>
      </c>
      <c r="L99" s="4">
        <v>17</v>
      </c>
      <c r="M99" s="4">
        <v>23</v>
      </c>
      <c r="N99" s="4">
        <v>25</v>
      </c>
      <c r="O99" s="4">
        <v>21</v>
      </c>
      <c r="P99" s="4">
        <v>13</v>
      </c>
    </row>
    <row r="100" spans="1:16" x14ac:dyDescent="0.45">
      <c r="A100" s="54">
        <v>17</v>
      </c>
      <c r="B100" s="2" t="s">
        <v>182</v>
      </c>
      <c r="C100" s="2" t="s">
        <v>29</v>
      </c>
      <c r="D100" s="3"/>
      <c r="E100" s="3"/>
      <c r="F100" s="3"/>
      <c r="G100" s="4">
        <v>3</v>
      </c>
      <c r="H100" s="4">
        <v>40</v>
      </c>
      <c r="I100" s="4">
        <v>46</v>
      </c>
      <c r="J100" s="4">
        <v>97</v>
      </c>
      <c r="K100" s="4">
        <v>62</v>
      </c>
      <c r="L100" s="4">
        <v>40.5</v>
      </c>
      <c r="M100" s="4">
        <v>26.5</v>
      </c>
      <c r="N100" s="4">
        <v>268.5</v>
      </c>
      <c r="O100" s="4">
        <v>102</v>
      </c>
      <c r="P100" s="4">
        <v>145</v>
      </c>
    </row>
    <row r="101" spans="1:16" x14ac:dyDescent="0.45">
      <c r="A101" s="54">
        <v>17</v>
      </c>
      <c r="B101" s="2" t="s">
        <v>182</v>
      </c>
      <c r="C101" s="2" t="s">
        <v>30</v>
      </c>
      <c r="D101" s="3"/>
      <c r="E101" s="3"/>
      <c r="F101" s="3"/>
      <c r="G101" s="4">
        <v>60</v>
      </c>
      <c r="H101" s="4">
        <v>1</v>
      </c>
      <c r="I101" s="4">
        <v>24</v>
      </c>
      <c r="J101" s="4">
        <v>109</v>
      </c>
      <c r="K101" s="4">
        <v>126</v>
      </c>
      <c r="L101" s="4">
        <v>79.5</v>
      </c>
      <c r="M101" s="4">
        <v>233.5</v>
      </c>
      <c r="N101" s="4">
        <v>108</v>
      </c>
      <c r="O101" s="4">
        <v>224</v>
      </c>
      <c r="P101" s="4">
        <v>59</v>
      </c>
    </row>
    <row r="102" spans="1:16" x14ac:dyDescent="0.45">
      <c r="A102" s="54">
        <v>17</v>
      </c>
      <c r="B102" s="2" t="s">
        <v>182</v>
      </c>
      <c r="C102" s="2" t="s">
        <v>31</v>
      </c>
      <c r="D102" s="3"/>
      <c r="E102" s="3"/>
      <c r="F102" s="3"/>
      <c r="G102" s="4">
        <v>57</v>
      </c>
      <c r="H102" s="4">
        <v>65</v>
      </c>
      <c r="I102" s="4">
        <v>52</v>
      </c>
      <c r="J102" s="4">
        <v>131</v>
      </c>
      <c r="K102" s="4">
        <v>154</v>
      </c>
      <c r="L102" s="4">
        <v>478</v>
      </c>
      <c r="M102" s="4">
        <v>581</v>
      </c>
      <c r="N102" s="4">
        <v>443</v>
      </c>
      <c r="O102" s="4">
        <v>574</v>
      </c>
      <c r="P102" s="4">
        <v>372</v>
      </c>
    </row>
    <row r="103" spans="1:16" x14ac:dyDescent="0.45">
      <c r="A103" s="54">
        <v>17</v>
      </c>
      <c r="B103" s="2" t="s">
        <v>182</v>
      </c>
      <c r="C103" s="2" t="s">
        <v>32</v>
      </c>
      <c r="D103" s="3"/>
      <c r="E103" s="3"/>
      <c r="F103" s="3"/>
      <c r="G103" s="4">
        <v>13</v>
      </c>
      <c r="H103" s="4">
        <v>9</v>
      </c>
      <c r="I103" s="4">
        <v>54</v>
      </c>
      <c r="J103" s="4">
        <v>1</v>
      </c>
      <c r="K103" s="4">
        <v>0</v>
      </c>
      <c r="L103" s="4">
        <v>110</v>
      </c>
      <c r="M103" s="4">
        <v>29</v>
      </c>
      <c r="N103" s="4">
        <v>29</v>
      </c>
      <c r="O103" s="4">
        <v>75</v>
      </c>
      <c r="P103" s="4">
        <v>42</v>
      </c>
    </row>
    <row r="104" spans="1:16" x14ac:dyDescent="0.45">
      <c r="A104" s="54">
        <v>17</v>
      </c>
      <c r="B104" s="2" t="s">
        <v>182</v>
      </c>
      <c r="C104" s="2" t="s">
        <v>33</v>
      </c>
      <c r="D104" s="3"/>
      <c r="E104" s="3"/>
      <c r="F104" s="3"/>
      <c r="G104" s="3"/>
      <c r="H104" s="4">
        <v>0</v>
      </c>
      <c r="I104" s="3"/>
      <c r="J104" s="3"/>
      <c r="K104" s="4">
        <v>285</v>
      </c>
      <c r="L104" s="4">
        <v>23</v>
      </c>
      <c r="M104" s="4">
        <v>7</v>
      </c>
      <c r="N104" s="4">
        <v>2</v>
      </c>
      <c r="O104" s="4">
        <v>7</v>
      </c>
      <c r="P104" s="4">
        <v>0</v>
      </c>
    </row>
    <row r="105" spans="1:16" x14ac:dyDescent="0.45">
      <c r="A105" s="54">
        <v>17</v>
      </c>
      <c r="B105" s="2" t="s">
        <v>182</v>
      </c>
      <c r="C105" s="2" t="s">
        <v>34</v>
      </c>
      <c r="D105" s="3"/>
      <c r="E105" s="3"/>
      <c r="F105" s="3"/>
      <c r="G105" s="3"/>
      <c r="H105" s="4">
        <v>0</v>
      </c>
      <c r="I105" s="4">
        <v>6</v>
      </c>
      <c r="J105" s="4">
        <v>2</v>
      </c>
      <c r="K105" s="4">
        <v>6</v>
      </c>
      <c r="L105" s="4">
        <v>10</v>
      </c>
      <c r="M105" s="4">
        <v>23</v>
      </c>
      <c r="N105" s="4">
        <v>30.5</v>
      </c>
      <c r="O105" s="4">
        <v>0</v>
      </c>
      <c r="P105" s="4">
        <v>3</v>
      </c>
    </row>
    <row r="106" spans="1:16" x14ac:dyDescent="0.45">
      <c r="A106" s="54">
        <v>18</v>
      </c>
      <c r="B106" s="2" t="s">
        <v>184</v>
      </c>
      <c r="C106" s="2" t="s">
        <v>29</v>
      </c>
      <c r="D106" s="4">
        <v>14</v>
      </c>
      <c r="E106" s="4">
        <v>3</v>
      </c>
      <c r="F106" s="4">
        <v>19</v>
      </c>
      <c r="G106" s="4">
        <v>26</v>
      </c>
      <c r="H106" s="4">
        <v>20</v>
      </c>
      <c r="I106" s="4">
        <v>12</v>
      </c>
      <c r="J106" s="4">
        <v>13</v>
      </c>
      <c r="K106" s="4">
        <v>33</v>
      </c>
      <c r="L106" s="4">
        <v>12</v>
      </c>
      <c r="M106" s="4">
        <v>38</v>
      </c>
      <c r="N106" s="4">
        <v>16</v>
      </c>
      <c r="O106" s="4">
        <v>24</v>
      </c>
      <c r="P106" s="4">
        <v>15</v>
      </c>
    </row>
    <row r="107" spans="1:16" x14ac:dyDescent="0.45">
      <c r="A107" s="54">
        <v>18</v>
      </c>
      <c r="B107" s="2" t="s">
        <v>184</v>
      </c>
      <c r="C107" s="2" t="s">
        <v>30</v>
      </c>
      <c r="D107" s="4">
        <v>5</v>
      </c>
      <c r="E107" s="4">
        <v>4</v>
      </c>
      <c r="F107" s="4">
        <v>10</v>
      </c>
      <c r="G107" s="4">
        <v>16</v>
      </c>
      <c r="H107" s="4">
        <v>16</v>
      </c>
      <c r="I107" s="4">
        <v>12.4</v>
      </c>
      <c r="J107" s="4">
        <v>29</v>
      </c>
      <c r="K107" s="4">
        <v>25</v>
      </c>
      <c r="L107" s="4">
        <v>16</v>
      </c>
      <c r="M107" s="4">
        <v>21</v>
      </c>
      <c r="N107" s="4">
        <v>23</v>
      </c>
      <c r="O107" s="4">
        <v>21</v>
      </c>
      <c r="P107" s="4">
        <v>14</v>
      </c>
    </row>
    <row r="108" spans="1:16" x14ac:dyDescent="0.45">
      <c r="A108" s="54">
        <v>18</v>
      </c>
      <c r="B108" s="2" t="s">
        <v>184</v>
      </c>
      <c r="C108" s="2" t="s">
        <v>31</v>
      </c>
      <c r="D108" s="4">
        <v>14</v>
      </c>
      <c r="E108" s="4">
        <v>24</v>
      </c>
      <c r="F108" s="4">
        <v>21</v>
      </c>
      <c r="G108" s="4">
        <v>115</v>
      </c>
      <c r="H108" s="4">
        <v>19</v>
      </c>
      <c r="I108" s="4">
        <v>34</v>
      </c>
      <c r="J108" s="4">
        <v>22</v>
      </c>
      <c r="K108" s="4">
        <v>53</v>
      </c>
      <c r="L108" s="4">
        <v>51</v>
      </c>
      <c r="M108" s="4">
        <v>63</v>
      </c>
      <c r="N108" s="4">
        <v>30</v>
      </c>
      <c r="O108" s="4">
        <v>39</v>
      </c>
      <c r="P108" s="4">
        <v>20</v>
      </c>
    </row>
    <row r="109" spans="1:16" x14ac:dyDescent="0.45">
      <c r="A109" s="54">
        <v>18</v>
      </c>
      <c r="B109" s="2" t="s">
        <v>184</v>
      </c>
      <c r="C109" s="2" t="s">
        <v>32</v>
      </c>
      <c r="D109" s="4">
        <v>6</v>
      </c>
      <c r="E109" s="4">
        <v>10</v>
      </c>
      <c r="F109" s="4">
        <v>21</v>
      </c>
      <c r="G109" s="4">
        <v>10</v>
      </c>
      <c r="H109" s="4">
        <v>35</v>
      </c>
      <c r="I109" s="4">
        <v>30</v>
      </c>
      <c r="J109" s="4">
        <v>29</v>
      </c>
      <c r="K109" s="4">
        <v>68</v>
      </c>
      <c r="L109" s="4">
        <v>22</v>
      </c>
      <c r="M109" s="4">
        <v>29</v>
      </c>
      <c r="N109" s="4">
        <v>15</v>
      </c>
      <c r="O109" s="4">
        <v>42</v>
      </c>
      <c r="P109" s="4">
        <v>27</v>
      </c>
    </row>
    <row r="110" spans="1:16" x14ac:dyDescent="0.45">
      <c r="A110" s="54">
        <v>18</v>
      </c>
      <c r="B110" s="2" t="s">
        <v>184</v>
      </c>
      <c r="C110" s="2" t="s">
        <v>33</v>
      </c>
      <c r="D110" s="4">
        <v>38</v>
      </c>
      <c r="E110" s="4">
        <v>5</v>
      </c>
      <c r="F110" s="4">
        <v>1</v>
      </c>
      <c r="G110" s="4">
        <v>6</v>
      </c>
      <c r="H110" s="4">
        <v>2</v>
      </c>
      <c r="I110" s="4">
        <v>2</v>
      </c>
      <c r="J110" s="4">
        <v>12</v>
      </c>
      <c r="K110" s="4">
        <v>7</v>
      </c>
      <c r="L110" s="4">
        <v>16</v>
      </c>
      <c r="M110" s="4">
        <v>3</v>
      </c>
      <c r="N110" s="4">
        <v>18</v>
      </c>
      <c r="O110" s="4">
        <v>8</v>
      </c>
      <c r="P110" s="4">
        <v>52</v>
      </c>
    </row>
    <row r="111" spans="1:16" x14ac:dyDescent="0.45">
      <c r="A111" s="54">
        <v>18</v>
      </c>
      <c r="B111" s="2" t="s">
        <v>184</v>
      </c>
      <c r="C111" s="2" t="s">
        <v>34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2.6</v>
      </c>
      <c r="J111" s="4">
        <v>4</v>
      </c>
      <c r="K111" s="4">
        <v>4</v>
      </c>
      <c r="L111" s="4">
        <v>0</v>
      </c>
      <c r="M111" s="4">
        <v>13</v>
      </c>
      <c r="N111" s="4">
        <v>0</v>
      </c>
      <c r="O111" s="4">
        <v>2</v>
      </c>
      <c r="P111" s="4">
        <v>2</v>
      </c>
    </row>
    <row r="112" spans="1:16" x14ac:dyDescent="0.45">
      <c r="A112" s="54">
        <v>19</v>
      </c>
      <c r="B112" s="2" t="s">
        <v>7</v>
      </c>
      <c r="C112" s="2" t="s">
        <v>29</v>
      </c>
      <c r="D112" s="4">
        <v>2012</v>
      </c>
      <c r="E112" s="4">
        <v>8664</v>
      </c>
      <c r="F112" s="4">
        <v>23</v>
      </c>
      <c r="G112" s="4">
        <v>135.78120000000001</v>
      </c>
      <c r="H112" s="4">
        <v>15</v>
      </c>
      <c r="I112" s="4">
        <v>13.9687</v>
      </c>
      <c r="J112" s="4">
        <v>117.21080000000001</v>
      </c>
      <c r="K112" s="4">
        <v>509</v>
      </c>
      <c r="L112" s="4">
        <v>1058</v>
      </c>
      <c r="M112" s="4">
        <v>13</v>
      </c>
      <c r="N112" s="4">
        <v>24</v>
      </c>
      <c r="O112" s="4">
        <v>35</v>
      </c>
      <c r="P112" s="4">
        <v>2</v>
      </c>
    </row>
    <row r="113" spans="1:16" x14ac:dyDescent="0.45">
      <c r="A113" s="54">
        <v>19</v>
      </c>
      <c r="B113" s="2" t="s">
        <v>7</v>
      </c>
      <c r="C113" s="2" t="s">
        <v>30</v>
      </c>
      <c r="D113" s="4">
        <v>208</v>
      </c>
      <c r="E113" s="4">
        <v>1705</v>
      </c>
      <c r="F113" s="4">
        <v>182.5</v>
      </c>
      <c r="G113" s="4">
        <v>233.66659999999999</v>
      </c>
      <c r="H113" s="4">
        <v>44.5</v>
      </c>
      <c r="I113" s="4">
        <v>191.36060000000001</v>
      </c>
      <c r="J113" s="4">
        <v>45.224299999999999</v>
      </c>
      <c r="K113" s="4">
        <v>251.5</v>
      </c>
      <c r="L113" s="4">
        <v>91.5</v>
      </c>
      <c r="M113" s="4">
        <v>24</v>
      </c>
      <c r="N113" s="4">
        <v>494</v>
      </c>
      <c r="O113" s="4">
        <v>230</v>
      </c>
      <c r="P113" s="4">
        <v>53</v>
      </c>
    </row>
    <row r="114" spans="1:16" x14ac:dyDescent="0.45">
      <c r="A114" s="54">
        <v>19</v>
      </c>
      <c r="B114" s="2" t="s">
        <v>7</v>
      </c>
      <c r="C114" s="2" t="s">
        <v>31</v>
      </c>
      <c r="D114" s="4">
        <v>7036</v>
      </c>
      <c r="E114" s="4">
        <v>3656</v>
      </c>
      <c r="F114" s="4">
        <v>40</v>
      </c>
      <c r="G114" s="4">
        <v>2061</v>
      </c>
      <c r="H114" s="4">
        <v>4393</v>
      </c>
      <c r="I114" s="4">
        <v>4040</v>
      </c>
      <c r="J114" s="4">
        <v>5048</v>
      </c>
      <c r="K114" s="4">
        <v>5288</v>
      </c>
      <c r="L114" s="4">
        <v>14228</v>
      </c>
      <c r="M114" s="4">
        <v>2876</v>
      </c>
      <c r="N114" s="4">
        <v>2362</v>
      </c>
      <c r="O114" s="4">
        <v>2056</v>
      </c>
      <c r="P114" s="4">
        <v>1361</v>
      </c>
    </row>
    <row r="115" spans="1:16" x14ac:dyDescent="0.45">
      <c r="A115" s="54">
        <v>19</v>
      </c>
      <c r="B115" s="2" t="s">
        <v>7</v>
      </c>
      <c r="C115" s="2" t="s">
        <v>32</v>
      </c>
      <c r="D115" s="4">
        <v>283</v>
      </c>
      <c r="E115" s="4">
        <v>535</v>
      </c>
      <c r="F115" s="4">
        <v>119</v>
      </c>
      <c r="G115" s="4">
        <v>327.33859999999999</v>
      </c>
      <c r="H115" s="4">
        <v>518.29999999999995</v>
      </c>
      <c r="I115" s="4">
        <v>128.44720000000001</v>
      </c>
      <c r="J115" s="4">
        <v>320.53300000000002</v>
      </c>
      <c r="K115" s="4">
        <v>316</v>
      </c>
      <c r="L115" s="4">
        <v>797</v>
      </c>
      <c r="M115" s="4">
        <v>280</v>
      </c>
      <c r="N115" s="4">
        <v>109</v>
      </c>
      <c r="O115" s="4">
        <v>410</v>
      </c>
      <c r="P115" s="4">
        <v>92</v>
      </c>
    </row>
    <row r="116" spans="1:16" x14ac:dyDescent="0.45">
      <c r="A116" s="54">
        <v>19</v>
      </c>
      <c r="B116" s="2" t="s">
        <v>7</v>
      </c>
      <c r="C116" s="2" t="s">
        <v>33</v>
      </c>
      <c r="D116" s="4">
        <v>1850</v>
      </c>
      <c r="E116" s="4">
        <v>976</v>
      </c>
      <c r="F116" s="4">
        <v>610.5</v>
      </c>
      <c r="G116" s="4">
        <v>430.21359999999999</v>
      </c>
      <c r="H116" s="4">
        <v>301.5</v>
      </c>
      <c r="I116" s="4">
        <v>889.22350000000006</v>
      </c>
      <c r="J116" s="4">
        <v>487.03190000000001</v>
      </c>
      <c r="K116" s="4">
        <v>338.5</v>
      </c>
      <c r="L116" s="4">
        <v>441.5</v>
      </c>
      <c r="M116" s="4">
        <v>168</v>
      </c>
      <c r="N116" s="4">
        <v>498</v>
      </c>
      <c r="O116" s="4">
        <v>75</v>
      </c>
      <c r="P116" s="4">
        <v>110</v>
      </c>
    </row>
    <row r="117" spans="1:16" x14ac:dyDescent="0.45">
      <c r="A117" s="54">
        <v>19</v>
      </c>
      <c r="B117" s="2" t="s">
        <v>7</v>
      </c>
      <c r="C117" s="2" t="s">
        <v>34</v>
      </c>
      <c r="D117" s="4">
        <v>-1016</v>
      </c>
      <c r="E117" s="4">
        <v>234</v>
      </c>
      <c r="F117" s="4">
        <v>224</v>
      </c>
      <c r="G117" s="4">
        <v>207</v>
      </c>
      <c r="H117" s="4">
        <v>303.7</v>
      </c>
      <c r="I117" s="4">
        <v>9</v>
      </c>
      <c r="J117" s="4">
        <v>67</v>
      </c>
      <c r="K117" s="4">
        <v>58</v>
      </c>
      <c r="L117" s="4">
        <v>81</v>
      </c>
      <c r="M117" s="4">
        <v>357</v>
      </c>
      <c r="N117" s="4">
        <v>167</v>
      </c>
      <c r="O117" s="4">
        <v>44</v>
      </c>
      <c r="P117" s="4">
        <v>127</v>
      </c>
    </row>
    <row r="118" spans="1:16" x14ac:dyDescent="0.45">
      <c r="A118" s="54">
        <v>20</v>
      </c>
      <c r="B118" s="2" t="s">
        <v>187</v>
      </c>
      <c r="C118" s="2" t="s">
        <v>29</v>
      </c>
      <c r="D118" s="4">
        <v>1</v>
      </c>
      <c r="E118" s="4">
        <v>0</v>
      </c>
      <c r="F118" s="4">
        <v>4</v>
      </c>
      <c r="G118" s="4">
        <v>56</v>
      </c>
      <c r="H118" s="4">
        <v>4</v>
      </c>
      <c r="I118" s="4">
        <v>5</v>
      </c>
      <c r="J118" s="4">
        <v>21</v>
      </c>
      <c r="K118" s="4">
        <v>49</v>
      </c>
      <c r="L118" s="4">
        <v>2</v>
      </c>
      <c r="M118" s="4">
        <v>5</v>
      </c>
      <c r="N118" s="4">
        <v>5</v>
      </c>
      <c r="O118" s="4">
        <v>6</v>
      </c>
      <c r="P118" s="4">
        <v>1</v>
      </c>
    </row>
    <row r="119" spans="1:16" x14ac:dyDescent="0.45">
      <c r="A119" s="54">
        <v>20</v>
      </c>
      <c r="B119" s="2" t="s">
        <v>187</v>
      </c>
      <c r="C119" s="2" t="s">
        <v>30</v>
      </c>
      <c r="D119" s="3"/>
      <c r="E119" s="4">
        <v>250</v>
      </c>
      <c r="F119" s="4">
        <v>8054</v>
      </c>
      <c r="G119" s="4">
        <v>100</v>
      </c>
      <c r="H119" s="4">
        <v>438</v>
      </c>
      <c r="I119" s="4">
        <v>1007</v>
      </c>
      <c r="J119" s="4">
        <v>-491</v>
      </c>
      <c r="K119" s="4">
        <v>39</v>
      </c>
      <c r="L119" s="4">
        <v>21</v>
      </c>
      <c r="M119" s="4">
        <v>1</v>
      </c>
      <c r="N119" s="4">
        <v>477</v>
      </c>
      <c r="O119" s="4">
        <v>588</v>
      </c>
      <c r="P119" s="4">
        <v>402</v>
      </c>
    </row>
    <row r="120" spans="1:16" x14ac:dyDescent="0.45">
      <c r="A120" s="54">
        <v>20</v>
      </c>
      <c r="B120" s="2" t="s">
        <v>187</v>
      </c>
      <c r="C120" s="2" t="s">
        <v>31</v>
      </c>
      <c r="D120" s="4">
        <v>220</v>
      </c>
      <c r="E120" s="4">
        <v>2531</v>
      </c>
      <c r="F120" s="4">
        <v>27</v>
      </c>
      <c r="G120" s="4">
        <v>3821</v>
      </c>
      <c r="H120" s="4">
        <v>195</v>
      </c>
      <c r="I120" s="4">
        <v>128</v>
      </c>
      <c r="J120" s="4">
        <v>25</v>
      </c>
      <c r="K120" s="4">
        <v>55</v>
      </c>
      <c r="L120" s="4">
        <v>251</v>
      </c>
      <c r="M120" s="4">
        <v>994</v>
      </c>
      <c r="N120" s="4">
        <v>48</v>
      </c>
      <c r="O120" s="4">
        <v>555</v>
      </c>
      <c r="P120" s="4">
        <v>325</v>
      </c>
    </row>
    <row r="121" spans="1:16" x14ac:dyDescent="0.45">
      <c r="A121" s="54">
        <v>20</v>
      </c>
      <c r="B121" s="2" t="s">
        <v>187</v>
      </c>
      <c r="C121" s="2" t="s">
        <v>32</v>
      </c>
      <c r="D121" s="4">
        <v>0</v>
      </c>
      <c r="E121" s="4">
        <v>156</v>
      </c>
      <c r="F121" s="4">
        <v>513</v>
      </c>
      <c r="G121" s="4">
        <v>6</v>
      </c>
      <c r="H121" s="4">
        <v>212</v>
      </c>
      <c r="I121" s="4">
        <v>44</v>
      </c>
      <c r="J121" s="4">
        <v>2592</v>
      </c>
      <c r="K121" s="4">
        <v>204</v>
      </c>
      <c r="L121" s="4">
        <v>126</v>
      </c>
      <c r="M121" s="4">
        <v>550</v>
      </c>
      <c r="N121" s="4">
        <v>851</v>
      </c>
      <c r="O121" s="4">
        <v>796</v>
      </c>
      <c r="P121" s="4">
        <v>20</v>
      </c>
    </row>
    <row r="122" spans="1:16" x14ac:dyDescent="0.45">
      <c r="A122" s="54">
        <v>20</v>
      </c>
      <c r="B122" s="2" t="s">
        <v>187</v>
      </c>
      <c r="C122" s="2" t="s">
        <v>33</v>
      </c>
      <c r="D122" s="4">
        <v>1</v>
      </c>
      <c r="E122" s="4">
        <v>5</v>
      </c>
      <c r="F122" s="4">
        <v>0</v>
      </c>
      <c r="G122" s="4">
        <v>5</v>
      </c>
      <c r="H122" s="4">
        <v>2</v>
      </c>
      <c r="I122" s="4">
        <v>141</v>
      </c>
      <c r="J122" s="4">
        <v>51</v>
      </c>
      <c r="K122" s="4">
        <v>475</v>
      </c>
      <c r="L122" s="4">
        <v>14</v>
      </c>
      <c r="M122" s="4">
        <v>9</v>
      </c>
      <c r="N122" s="4">
        <v>45</v>
      </c>
      <c r="O122" s="4">
        <v>30</v>
      </c>
      <c r="P122" s="4">
        <v>5</v>
      </c>
    </row>
    <row r="123" spans="1:16" x14ac:dyDescent="0.45">
      <c r="A123" s="54">
        <v>20</v>
      </c>
      <c r="B123" s="2" t="s">
        <v>187</v>
      </c>
      <c r="C123" s="2" t="s">
        <v>34</v>
      </c>
      <c r="D123" s="3"/>
      <c r="E123" s="4">
        <v>0</v>
      </c>
      <c r="F123" s="3"/>
      <c r="G123" s="4">
        <v>100</v>
      </c>
      <c r="H123" s="4">
        <v>201</v>
      </c>
      <c r="I123" s="4">
        <v>50</v>
      </c>
      <c r="J123" s="4">
        <v>3</v>
      </c>
      <c r="K123" s="4">
        <v>0</v>
      </c>
      <c r="L123" s="4">
        <v>1</v>
      </c>
      <c r="M123" s="4">
        <v>105</v>
      </c>
      <c r="N123" s="4">
        <v>200</v>
      </c>
      <c r="O123" s="4">
        <v>0</v>
      </c>
      <c r="P123" s="4">
        <v>300</v>
      </c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CB30-9C3B-4808-9E2D-BDEFAE1091D8}">
  <sheetPr>
    <tabColor theme="8" tint="0.59999389629810485"/>
  </sheetPr>
  <dimension ref="A1:P296"/>
  <sheetViews>
    <sheetView workbookViewId="0">
      <selection activeCell="F10" sqref="F10"/>
    </sheetView>
  </sheetViews>
  <sheetFormatPr defaultRowHeight="14.25" x14ac:dyDescent="0.45"/>
  <cols>
    <col min="1" max="1" width="9.19921875" style="29"/>
    <col min="2" max="2" width="46.3984375" customWidth="1"/>
    <col min="3" max="3" width="25" customWidth="1"/>
  </cols>
  <sheetData>
    <row r="1" spans="1:16" ht="14.75" customHeight="1" x14ac:dyDescent="0.45">
      <c r="A1" s="88" t="s">
        <v>87</v>
      </c>
      <c r="B1" s="88" t="s">
        <v>22</v>
      </c>
      <c r="C1" s="88" t="s">
        <v>35</v>
      </c>
      <c r="D1" s="90" t="s">
        <v>156</v>
      </c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14.75" customHeight="1" x14ac:dyDescent="0.45">
      <c r="A2" s="88"/>
      <c r="B2" s="88"/>
      <c r="C2" s="88" t="s">
        <v>35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spans="1:16" x14ac:dyDescent="0.45">
      <c r="A3" s="88"/>
      <c r="B3" s="88"/>
      <c r="C3" s="88"/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14</v>
      </c>
      <c r="J3" s="8" t="s">
        <v>15</v>
      </c>
      <c r="K3" s="8" t="s">
        <v>16</v>
      </c>
      <c r="L3" s="8" t="s">
        <v>17</v>
      </c>
      <c r="M3" s="8" t="s">
        <v>18</v>
      </c>
      <c r="N3" s="8" t="s">
        <v>19</v>
      </c>
      <c r="O3" s="8" t="s">
        <v>20</v>
      </c>
      <c r="P3" s="8" t="s">
        <v>21</v>
      </c>
    </row>
    <row r="4" spans="1:16" x14ac:dyDescent="0.45">
      <c r="A4" s="54">
        <v>1</v>
      </c>
      <c r="B4" s="2" t="s">
        <v>6</v>
      </c>
      <c r="C4" s="2" t="s">
        <v>36</v>
      </c>
      <c r="D4" s="4">
        <v>1087</v>
      </c>
      <c r="E4" s="4">
        <v>565</v>
      </c>
      <c r="F4" s="4">
        <v>551</v>
      </c>
      <c r="G4" s="4">
        <v>569</v>
      </c>
      <c r="H4" s="4">
        <v>289</v>
      </c>
      <c r="I4" s="4">
        <v>303</v>
      </c>
      <c r="J4" s="4">
        <v>361</v>
      </c>
      <c r="K4" s="4">
        <v>144</v>
      </c>
      <c r="L4" s="4">
        <v>227</v>
      </c>
      <c r="M4" s="4">
        <v>155</v>
      </c>
      <c r="N4" s="4">
        <v>112</v>
      </c>
      <c r="O4" s="4">
        <v>145</v>
      </c>
      <c r="P4" s="4">
        <v>69</v>
      </c>
    </row>
    <row r="5" spans="1:16" x14ac:dyDescent="0.45">
      <c r="A5" s="54">
        <v>1</v>
      </c>
      <c r="B5" s="2" t="s">
        <v>6</v>
      </c>
      <c r="C5" s="2" t="s">
        <v>37</v>
      </c>
      <c r="D5" s="4">
        <v>48</v>
      </c>
      <c r="E5" s="4">
        <v>251</v>
      </c>
      <c r="F5" s="4">
        <v>192</v>
      </c>
      <c r="G5" s="4">
        <v>180</v>
      </c>
      <c r="H5" s="4">
        <v>0</v>
      </c>
      <c r="I5" s="4">
        <v>93</v>
      </c>
      <c r="J5" s="4">
        <v>2</v>
      </c>
      <c r="K5" s="4">
        <v>19</v>
      </c>
      <c r="L5" s="4">
        <v>31</v>
      </c>
      <c r="M5" s="4">
        <v>10</v>
      </c>
      <c r="N5" s="4">
        <v>48</v>
      </c>
      <c r="O5" s="4">
        <v>2</v>
      </c>
      <c r="P5" s="4">
        <v>19</v>
      </c>
    </row>
    <row r="6" spans="1:16" x14ac:dyDescent="0.45">
      <c r="A6" s="54">
        <v>1</v>
      </c>
      <c r="B6" s="2" t="s">
        <v>6</v>
      </c>
      <c r="C6" s="2" t="s">
        <v>38</v>
      </c>
      <c r="D6" s="4">
        <v>173</v>
      </c>
      <c r="E6" s="4">
        <v>1174</v>
      </c>
      <c r="F6" s="4">
        <v>840</v>
      </c>
      <c r="G6" s="4">
        <v>124</v>
      </c>
      <c r="H6" s="4">
        <v>325</v>
      </c>
      <c r="I6" s="4">
        <v>359</v>
      </c>
      <c r="J6" s="4">
        <v>897</v>
      </c>
      <c r="K6" s="4">
        <v>562</v>
      </c>
      <c r="L6" s="4">
        <v>412</v>
      </c>
      <c r="M6" s="4">
        <v>281</v>
      </c>
      <c r="N6" s="4">
        <v>482</v>
      </c>
      <c r="O6" s="4">
        <v>711</v>
      </c>
      <c r="P6" s="4">
        <v>233</v>
      </c>
    </row>
    <row r="7" spans="1:16" x14ac:dyDescent="0.45">
      <c r="A7" s="54">
        <v>1</v>
      </c>
      <c r="B7" s="2" t="s">
        <v>6</v>
      </c>
      <c r="C7" s="2" t="s">
        <v>39</v>
      </c>
      <c r="D7" s="4">
        <v>916</v>
      </c>
      <c r="E7" s="4">
        <v>254</v>
      </c>
      <c r="F7" s="4">
        <v>212</v>
      </c>
      <c r="G7" s="4">
        <v>308</v>
      </c>
      <c r="H7" s="4">
        <v>543</v>
      </c>
      <c r="I7" s="4">
        <v>840</v>
      </c>
      <c r="J7" s="4">
        <v>339</v>
      </c>
      <c r="K7" s="4">
        <v>518</v>
      </c>
      <c r="L7" s="4">
        <v>231</v>
      </c>
      <c r="M7" s="4">
        <v>352</v>
      </c>
      <c r="N7" s="4">
        <v>422</v>
      </c>
      <c r="O7" s="4">
        <v>185</v>
      </c>
      <c r="P7" s="4">
        <v>168</v>
      </c>
    </row>
    <row r="8" spans="1:16" x14ac:dyDescent="0.45">
      <c r="A8" s="54">
        <v>1</v>
      </c>
      <c r="B8" s="2" t="s">
        <v>6</v>
      </c>
      <c r="C8" s="2" t="s">
        <v>40</v>
      </c>
      <c r="D8" s="4">
        <v>43</v>
      </c>
      <c r="E8" s="4">
        <v>171</v>
      </c>
      <c r="F8" s="4">
        <v>144</v>
      </c>
      <c r="G8" s="4">
        <v>126</v>
      </c>
      <c r="H8" s="4">
        <v>151</v>
      </c>
      <c r="I8" s="4">
        <v>128</v>
      </c>
      <c r="J8" s="4">
        <v>175</v>
      </c>
      <c r="K8" s="4">
        <v>22</v>
      </c>
      <c r="L8" s="4">
        <v>10</v>
      </c>
      <c r="M8" s="4">
        <v>76</v>
      </c>
      <c r="N8" s="4">
        <v>29</v>
      </c>
      <c r="O8" s="4">
        <v>276</v>
      </c>
      <c r="P8" s="4">
        <v>31</v>
      </c>
    </row>
    <row r="9" spans="1:16" x14ac:dyDescent="0.45">
      <c r="A9" s="54">
        <v>1</v>
      </c>
      <c r="B9" s="2" t="s">
        <v>6</v>
      </c>
      <c r="C9" s="2" t="s">
        <v>41</v>
      </c>
      <c r="D9" s="4">
        <v>130</v>
      </c>
      <c r="E9" s="4">
        <v>1400</v>
      </c>
      <c r="F9" s="4">
        <v>0</v>
      </c>
      <c r="G9" s="4">
        <v>0</v>
      </c>
      <c r="H9" s="4">
        <v>6</v>
      </c>
      <c r="I9" s="4">
        <v>34</v>
      </c>
      <c r="J9" s="4">
        <v>27</v>
      </c>
      <c r="K9" s="3"/>
      <c r="L9" s="4">
        <v>0</v>
      </c>
      <c r="M9" s="3"/>
      <c r="N9" s="4">
        <v>6</v>
      </c>
      <c r="O9" s="4">
        <v>0</v>
      </c>
      <c r="P9" s="4">
        <v>0</v>
      </c>
    </row>
    <row r="10" spans="1:16" x14ac:dyDescent="0.45">
      <c r="A10" s="54">
        <v>1</v>
      </c>
      <c r="B10" s="2" t="s">
        <v>6</v>
      </c>
      <c r="C10" s="2" t="s">
        <v>42</v>
      </c>
      <c r="D10" s="4">
        <v>2217</v>
      </c>
      <c r="E10" s="4">
        <v>3681</v>
      </c>
      <c r="F10" s="4">
        <v>2709</v>
      </c>
      <c r="G10" s="4">
        <v>2851</v>
      </c>
      <c r="H10" s="4">
        <v>1744</v>
      </c>
      <c r="I10" s="4">
        <v>2025</v>
      </c>
      <c r="J10" s="4">
        <v>1218</v>
      </c>
      <c r="K10" s="4">
        <v>2036</v>
      </c>
      <c r="L10" s="4">
        <v>1667</v>
      </c>
      <c r="M10" s="4">
        <v>1509</v>
      </c>
      <c r="N10" s="4">
        <v>1410</v>
      </c>
      <c r="O10" s="4">
        <v>1240</v>
      </c>
      <c r="P10" s="4">
        <v>781</v>
      </c>
    </row>
    <row r="11" spans="1:16" x14ac:dyDescent="0.45">
      <c r="A11" s="54">
        <v>1</v>
      </c>
      <c r="B11" s="2" t="s">
        <v>6</v>
      </c>
      <c r="C11" s="2" t="s">
        <v>43</v>
      </c>
      <c r="D11" s="4">
        <v>-532</v>
      </c>
      <c r="E11" s="4">
        <v>279</v>
      </c>
      <c r="F11" s="4">
        <v>346</v>
      </c>
      <c r="G11" s="4">
        <v>73</v>
      </c>
      <c r="H11" s="4">
        <v>93</v>
      </c>
      <c r="I11" s="4">
        <v>475</v>
      </c>
      <c r="J11" s="4">
        <v>859</v>
      </c>
      <c r="K11" s="4">
        <v>39</v>
      </c>
      <c r="L11" s="4">
        <v>71</v>
      </c>
      <c r="M11" s="4">
        <v>211</v>
      </c>
      <c r="N11" s="4">
        <v>64</v>
      </c>
      <c r="O11" s="4">
        <v>105</v>
      </c>
      <c r="P11" s="4">
        <v>32</v>
      </c>
    </row>
    <row r="12" spans="1:16" x14ac:dyDescent="0.45">
      <c r="A12" s="54">
        <v>1</v>
      </c>
      <c r="B12" s="2" t="s">
        <v>6</v>
      </c>
      <c r="C12" s="2" t="s">
        <v>44</v>
      </c>
      <c r="D12" s="4">
        <v>-1547</v>
      </c>
      <c r="E12" s="4">
        <v>653</v>
      </c>
      <c r="F12" s="4">
        <v>262</v>
      </c>
      <c r="G12" s="4">
        <v>1088</v>
      </c>
      <c r="H12" s="4">
        <v>236</v>
      </c>
      <c r="I12" s="4">
        <v>464</v>
      </c>
      <c r="J12" s="4">
        <v>590</v>
      </c>
      <c r="K12" s="4">
        <v>522</v>
      </c>
      <c r="L12" s="4">
        <v>153</v>
      </c>
      <c r="M12" s="4">
        <v>86</v>
      </c>
      <c r="N12" s="4">
        <v>193</v>
      </c>
      <c r="O12" s="4">
        <v>247</v>
      </c>
      <c r="P12" s="4">
        <v>502</v>
      </c>
    </row>
    <row r="13" spans="1:16" x14ac:dyDescent="0.45">
      <c r="A13" s="54">
        <v>1</v>
      </c>
      <c r="B13" s="2" t="s">
        <v>6</v>
      </c>
      <c r="C13" s="2" t="s">
        <v>45</v>
      </c>
      <c r="D13" s="4">
        <v>765</v>
      </c>
      <c r="E13" s="4">
        <v>-6116</v>
      </c>
      <c r="F13" s="4">
        <v>1927</v>
      </c>
      <c r="G13" s="4">
        <v>1188</v>
      </c>
      <c r="H13" s="4">
        <v>421</v>
      </c>
      <c r="I13" s="4">
        <v>782</v>
      </c>
      <c r="J13" s="4">
        <v>1130</v>
      </c>
      <c r="K13" s="4">
        <v>699</v>
      </c>
      <c r="L13" s="4">
        <v>349</v>
      </c>
      <c r="M13" s="4">
        <v>4558</v>
      </c>
      <c r="N13" s="4">
        <v>482</v>
      </c>
      <c r="O13" s="4">
        <v>434</v>
      </c>
      <c r="P13" s="4">
        <v>778</v>
      </c>
    </row>
    <row r="14" spans="1:16" x14ac:dyDescent="0.45">
      <c r="A14" s="54">
        <v>1</v>
      </c>
      <c r="B14" s="2" t="s">
        <v>6</v>
      </c>
      <c r="C14" s="2" t="s">
        <v>46</v>
      </c>
      <c r="D14" s="4">
        <v>-37</v>
      </c>
      <c r="E14" s="4">
        <v>0</v>
      </c>
      <c r="F14" s="4">
        <v>4</v>
      </c>
      <c r="G14" s="4">
        <v>0</v>
      </c>
      <c r="H14" s="4">
        <v>98</v>
      </c>
      <c r="I14" s="4">
        <v>0</v>
      </c>
      <c r="J14" s="4">
        <v>195</v>
      </c>
      <c r="K14" s="4">
        <v>0</v>
      </c>
      <c r="L14" s="4">
        <v>0</v>
      </c>
      <c r="M14" s="4">
        <v>308</v>
      </c>
      <c r="N14" s="4">
        <v>0</v>
      </c>
      <c r="O14" s="4">
        <v>0</v>
      </c>
      <c r="P14" s="4">
        <v>3</v>
      </c>
    </row>
    <row r="15" spans="1:16" x14ac:dyDescent="0.45">
      <c r="A15" s="54">
        <v>1</v>
      </c>
      <c r="B15" s="2" t="s">
        <v>6</v>
      </c>
      <c r="C15" s="2" t="s">
        <v>47</v>
      </c>
      <c r="D15" s="4">
        <v>620</v>
      </c>
      <c r="E15" s="4">
        <v>47</v>
      </c>
      <c r="F15" s="4">
        <v>38</v>
      </c>
      <c r="G15" s="4">
        <v>291</v>
      </c>
      <c r="H15" s="4">
        <v>161</v>
      </c>
      <c r="I15" s="4">
        <v>5</v>
      </c>
      <c r="J15" s="4">
        <v>38</v>
      </c>
      <c r="K15" s="4">
        <v>6</v>
      </c>
      <c r="L15" s="4">
        <v>7</v>
      </c>
      <c r="M15" s="4">
        <v>17</v>
      </c>
      <c r="N15" s="4">
        <v>0</v>
      </c>
      <c r="O15" s="4">
        <v>0</v>
      </c>
      <c r="P15" s="3"/>
    </row>
    <row r="16" spans="1:16" x14ac:dyDescent="0.45">
      <c r="A16" s="54">
        <v>1</v>
      </c>
      <c r="B16" s="2" t="s">
        <v>6</v>
      </c>
      <c r="C16" s="2" t="s">
        <v>48</v>
      </c>
      <c r="D16" s="4">
        <v>280</v>
      </c>
      <c r="E16" s="4">
        <v>127</v>
      </c>
      <c r="F16" s="4">
        <v>69</v>
      </c>
      <c r="G16" s="4">
        <v>23</v>
      </c>
      <c r="H16" s="4">
        <v>20</v>
      </c>
      <c r="I16" s="4">
        <v>57</v>
      </c>
      <c r="J16" s="4">
        <v>38</v>
      </c>
      <c r="K16" s="4">
        <v>36</v>
      </c>
      <c r="L16" s="4">
        <v>21</v>
      </c>
      <c r="M16" s="4">
        <v>105</v>
      </c>
      <c r="N16" s="4">
        <v>17</v>
      </c>
      <c r="O16" s="4">
        <v>73</v>
      </c>
      <c r="P16" s="4">
        <v>37</v>
      </c>
    </row>
    <row r="17" spans="1:16" x14ac:dyDescent="0.45">
      <c r="A17" s="54">
        <v>1</v>
      </c>
      <c r="B17" s="2" t="s">
        <v>6</v>
      </c>
      <c r="C17" s="2" t="s">
        <v>49</v>
      </c>
      <c r="D17" s="4">
        <v>1150</v>
      </c>
      <c r="E17" s="4">
        <v>-215</v>
      </c>
      <c r="F17" s="4">
        <v>430</v>
      </c>
      <c r="G17" s="4">
        <v>896</v>
      </c>
      <c r="H17" s="4">
        <v>161</v>
      </c>
      <c r="I17" s="4">
        <v>952</v>
      </c>
      <c r="J17" s="4">
        <v>307</v>
      </c>
      <c r="K17" s="4">
        <v>689</v>
      </c>
      <c r="L17" s="4">
        <v>541</v>
      </c>
      <c r="M17" s="4">
        <v>579</v>
      </c>
      <c r="N17" s="4">
        <v>565</v>
      </c>
      <c r="O17" s="4">
        <v>201</v>
      </c>
      <c r="P17" s="4">
        <v>497</v>
      </c>
    </row>
    <row r="18" spans="1:16" x14ac:dyDescent="0.45">
      <c r="A18" s="54">
        <v>1</v>
      </c>
      <c r="B18" s="2" t="s">
        <v>6</v>
      </c>
      <c r="C18" s="2" t="s">
        <v>50</v>
      </c>
      <c r="D18" s="4">
        <v>-22</v>
      </c>
      <c r="E18" s="4">
        <v>15</v>
      </c>
      <c r="F18" s="4">
        <v>130</v>
      </c>
      <c r="G18" s="4">
        <v>148</v>
      </c>
      <c r="H18" s="4">
        <v>42</v>
      </c>
      <c r="I18" s="4">
        <v>134</v>
      </c>
      <c r="J18" s="4">
        <v>371</v>
      </c>
      <c r="K18" s="4">
        <v>60</v>
      </c>
      <c r="L18" s="4">
        <v>101</v>
      </c>
      <c r="M18" s="4">
        <v>46</v>
      </c>
      <c r="N18" s="4">
        <v>8</v>
      </c>
      <c r="O18" s="4">
        <v>24</v>
      </c>
      <c r="P18" s="4">
        <v>31</v>
      </c>
    </row>
    <row r="19" spans="1:16" x14ac:dyDescent="0.45">
      <c r="A19" s="54">
        <v>2</v>
      </c>
      <c r="B19" s="2" t="s">
        <v>159</v>
      </c>
      <c r="C19" s="2" t="s">
        <v>36</v>
      </c>
      <c r="D19" s="3"/>
      <c r="E19" s="3"/>
      <c r="F19" s="3"/>
      <c r="G19" s="3"/>
      <c r="H19" s="3"/>
      <c r="I19" s="4">
        <v>0</v>
      </c>
      <c r="J19" s="4">
        <v>35</v>
      </c>
      <c r="K19" s="4">
        <v>3</v>
      </c>
      <c r="L19" s="4">
        <v>16</v>
      </c>
      <c r="M19" s="4">
        <v>16</v>
      </c>
      <c r="N19" s="4">
        <v>298</v>
      </c>
      <c r="O19" s="4">
        <v>63</v>
      </c>
      <c r="P19" s="4">
        <v>24</v>
      </c>
    </row>
    <row r="20" spans="1:16" x14ac:dyDescent="0.45">
      <c r="A20" s="54">
        <v>2</v>
      </c>
      <c r="B20" s="2" t="s">
        <v>159</v>
      </c>
      <c r="C20" s="2" t="s">
        <v>37</v>
      </c>
      <c r="D20" s="3"/>
      <c r="E20" s="3"/>
      <c r="F20" s="3"/>
      <c r="G20" s="3"/>
      <c r="H20" s="3"/>
      <c r="I20" s="3"/>
      <c r="J20" s="4">
        <v>1</v>
      </c>
      <c r="K20" s="4">
        <v>3</v>
      </c>
      <c r="L20" s="4">
        <v>8</v>
      </c>
      <c r="M20" s="4">
        <v>27</v>
      </c>
      <c r="N20" s="4">
        <v>37</v>
      </c>
      <c r="O20" s="4">
        <v>1</v>
      </c>
      <c r="P20" s="4">
        <v>39</v>
      </c>
    </row>
    <row r="21" spans="1:16" x14ac:dyDescent="0.45">
      <c r="A21" s="54">
        <v>2</v>
      </c>
      <c r="B21" s="2" t="s">
        <v>159</v>
      </c>
      <c r="C21" s="2" t="s">
        <v>38</v>
      </c>
      <c r="D21" s="3"/>
      <c r="E21" s="3"/>
      <c r="F21" s="3"/>
      <c r="G21" s="3"/>
      <c r="H21" s="4">
        <v>100</v>
      </c>
      <c r="I21" s="4">
        <v>-30</v>
      </c>
      <c r="J21" s="4">
        <v>18</v>
      </c>
      <c r="K21" s="4">
        <v>55</v>
      </c>
      <c r="L21" s="4">
        <v>360</v>
      </c>
      <c r="M21" s="4">
        <v>313</v>
      </c>
      <c r="N21" s="4">
        <v>252</v>
      </c>
      <c r="O21" s="4">
        <v>402</v>
      </c>
      <c r="P21" s="4">
        <v>572</v>
      </c>
    </row>
    <row r="22" spans="1:16" x14ac:dyDescent="0.45">
      <c r="A22" s="54">
        <v>2</v>
      </c>
      <c r="B22" s="2" t="s">
        <v>159</v>
      </c>
      <c r="C22" s="2" t="s">
        <v>39</v>
      </c>
      <c r="D22" s="3"/>
      <c r="E22" s="3"/>
      <c r="F22" s="3"/>
      <c r="G22" s="3"/>
      <c r="H22" s="4">
        <v>1</v>
      </c>
      <c r="I22" s="4">
        <v>20</v>
      </c>
      <c r="J22" s="4">
        <v>23</v>
      </c>
      <c r="K22" s="4">
        <v>69</v>
      </c>
      <c r="L22" s="4">
        <v>241</v>
      </c>
      <c r="M22" s="4">
        <v>216</v>
      </c>
      <c r="N22" s="4">
        <v>374</v>
      </c>
      <c r="O22" s="4">
        <v>534</v>
      </c>
      <c r="P22" s="4">
        <v>1002</v>
      </c>
    </row>
    <row r="23" spans="1:16" x14ac:dyDescent="0.45">
      <c r="A23" s="54">
        <v>2</v>
      </c>
      <c r="B23" s="2" t="s">
        <v>159</v>
      </c>
      <c r="C23" s="2" t="s">
        <v>40</v>
      </c>
      <c r="D23" s="3"/>
      <c r="E23" s="3"/>
      <c r="F23" s="3"/>
      <c r="G23" s="3"/>
      <c r="H23" s="4">
        <v>10</v>
      </c>
      <c r="I23" s="3"/>
      <c r="J23" s="3"/>
      <c r="K23" s="4">
        <v>5</v>
      </c>
      <c r="L23" s="4">
        <v>9</v>
      </c>
      <c r="M23" s="4">
        <v>5</v>
      </c>
      <c r="N23" s="4">
        <v>11</v>
      </c>
      <c r="O23" s="4">
        <v>5</v>
      </c>
      <c r="P23" s="4">
        <v>25</v>
      </c>
    </row>
    <row r="24" spans="1:16" x14ac:dyDescent="0.45">
      <c r="A24" s="54">
        <v>2</v>
      </c>
      <c r="B24" s="2" t="s">
        <v>159</v>
      </c>
      <c r="C24" s="2" t="s">
        <v>41</v>
      </c>
      <c r="D24" s="3"/>
      <c r="E24" s="3"/>
      <c r="F24" s="3"/>
      <c r="G24" s="3"/>
      <c r="H24" s="3"/>
      <c r="I24" s="3"/>
      <c r="J24" s="4">
        <v>0</v>
      </c>
      <c r="K24" s="4">
        <v>13</v>
      </c>
      <c r="L24" s="4">
        <v>27</v>
      </c>
      <c r="M24" s="4">
        <v>0</v>
      </c>
      <c r="N24" s="4">
        <v>135</v>
      </c>
      <c r="O24" s="4">
        <v>50</v>
      </c>
      <c r="P24" s="4">
        <v>4</v>
      </c>
    </row>
    <row r="25" spans="1:16" x14ac:dyDescent="0.45">
      <c r="A25" s="54">
        <v>2</v>
      </c>
      <c r="B25" s="2" t="s">
        <v>159</v>
      </c>
      <c r="C25" s="2" t="s">
        <v>42</v>
      </c>
      <c r="D25" s="3"/>
      <c r="E25" s="3"/>
      <c r="F25" s="3"/>
      <c r="G25" s="3"/>
      <c r="H25" s="4">
        <v>1</v>
      </c>
      <c r="I25" s="4">
        <v>3</v>
      </c>
      <c r="J25" s="4">
        <v>20</v>
      </c>
      <c r="K25" s="4">
        <v>127</v>
      </c>
      <c r="L25" s="4">
        <v>296</v>
      </c>
      <c r="M25" s="4">
        <v>252</v>
      </c>
      <c r="N25" s="4">
        <v>178</v>
      </c>
      <c r="O25" s="4">
        <v>263</v>
      </c>
      <c r="P25" s="4">
        <v>394</v>
      </c>
    </row>
    <row r="26" spans="1:16" x14ac:dyDescent="0.45">
      <c r="A26" s="54">
        <v>2</v>
      </c>
      <c r="B26" s="2" t="s">
        <v>159</v>
      </c>
      <c r="C26" s="2" t="s">
        <v>43</v>
      </c>
      <c r="D26" s="3"/>
      <c r="E26" s="3"/>
      <c r="F26" s="3"/>
      <c r="G26" s="3"/>
      <c r="H26" s="3"/>
      <c r="I26" s="3"/>
      <c r="J26" s="4">
        <v>0</v>
      </c>
      <c r="K26" s="4">
        <v>3</v>
      </c>
      <c r="L26" s="4">
        <v>28</v>
      </c>
      <c r="M26" s="4">
        <v>69</v>
      </c>
      <c r="N26" s="4">
        <v>34</v>
      </c>
      <c r="O26" s="4">
        <v>109</v>
      </c>
      <c r="P26" s="4">
        <v>18</v>
      </c>
    </row>
    <row r="27" spans="1:16" x14ac:dyDescent="0.45">
      <c r="A27" s="54">
        <v>2</v>
      </c>
      <c r="B27" s="2" t="s">
        <v>159</v>
      </c>
      <c r="C27" s="2" t="s">
        <v>44</v>
      </c>
      <c r="D27" s="3"/>
      <c r="E27" s="3"/>
      <c r="F27" s="3"/>
      <c r="G27" s="3"/>
      <c r="H27" s="4">
        <v>20</v>
      </c>
      <c r="I27" s="4">
        <v>0</v>
      </c>
      <c r="J27" s="4">
        <v>4</v>
      </c>
      <c r="K27" s="4">
        <v>107</v>
      </c>
      <c r="L27" s="4">
        <v>71</v>
      </c>
      <c r="M27" s="4">
        <v>118</v>
      </c>
      <c r="N27" s="4">
        <v>175</v>
      </c>
      <c r="O27" s="4">
        <v>199</v>
      </c>
      <c r="P27" s="4">
        <v>68</v>
      </c>
    </row>
    <row r="28" spans="1:16" x14ac:dyDescent="0.45">
      <c r="A28" s="54">
        <v>2</v>
      </c>
      <c r="B28" s="2" t="s">
        <v>159</v>
      </c>
      <c r="C28" s="2" t="s">
        <v>45</v>
      </c>
      <c r="D28" s="3"/>
      <c r="E28" s="3"/>
      <c r="F28" s="3"/>
      <c r="G28" s="3"/>
      <c r="H28" s="4">
        <v>1</v>
      </c>
      <c r="I28" s="4">
        <v>25</v>
      </c>
      <c r="J28" s="4">
        <v>120</v>
      </c>
      <c r="K28" s="4">
        <v>54</v>
      </c>
      <c r="L28" s="4">
        <v>7</v>
      </c>
      <c r="M28" s="4">
        <v>10</v>
      </c>
      <c r="N28" s="4">
        <v>29</v>
      </c>
      <c r="O28" s="4">
        <v>8</v>
      </c>
      <c r="P28" s="4">
        <v>13</v>
      </c>
    </row>
    <row r="29" spans="1:16" x14ac:dyDescent="0.45">
      <c r="A29" s="54">
        <v>2</v>
      </c>
      <c r="B29" s="2" t="s">
        <v>159</v>
      </c>
      <c r="C29" s="2" t="s">
        <v>46</v>
      </c>
      <c r="D29" s="3"/>
      <c r="E29" s="3"/>
      <c r="F29" s="3"/>
      <c r="G29" s="3"/>
      <c r="H29" s="3"/>
      <c r="I29" s="3"/>
      <c r="J29" s="4">
        <v>0</v>
      </c>
      <c r="K29" s="4">
        <v>5</v>
      </c>
      <c r="L29" s="4">
        <v>452</v>
      </c>
      <c r="M29" s="4">
        <v>292</v>
      </c>
      <c r="N29" s="4">
        <v>550</v>
      </c>
      <c r="O29" s="4">
        <v>16</v>
      </c>
      <c r="P29" s="4">
        <v>250</v>
      </c>
    </row>
    <row r="30" spans="1:16" x14ac:dyDescent="0.45">
      <c r="A30" s="54">
        <v>2</v>
      </c>
      <c r="B30" s="2" t="s">
        <v>159</v>
      </c>
      <c r="C30" s="2" t="s">
        <v>47</v>
      </c>
      <c r="D30" s="3"/>
      <c r="E30" s="3"/>
      <c r="F30" s="3"/>
      <c r="G30" s="3"/>
      <c r="H30" s="3"/>
      <c r="I30" s="4">
        <v>1</v>
      </c>
      <c r="J30" s="4">
        <v>6</v>
      </c>
      <c r="K30" s="4">
        <v>19</v>
      </c>
      <c r="L30" s="4">
        <v>36</v>
      </c>
      <c r="M30" s="4">
        <v>181</v>
      </c>
      <c r="N30" s="4">
        <v>183</v>
      </c>
      <c r="O30" s="4">
        <v>127</v>
      </c>
      <c r="P30" s="4">
        <v>74</v>
      </c>
    </row>
    <row r="31" spans="1:16" x14ac:dyDescent="0.45">
      <c r="A31" s="54">
        <v>2</v>
      </c>
      <c r="B31" s="2" t="s">
        <v>159</v>
      </c>
      <c r="C31" s="2" t="s">
        <v>48</v>
      </c>
      <c r="D31" s="3"/>
      <c r="E31" s="3"/>
      <c r="F31" s="3"/>
      <c r="G31" s="3"/>
      <c r="H31" s="3"/>
      <c r="I31" s="4">
        <v>0</v>
      </c>
      <c r="J31" s="4">
        <v>13</v>
      </c>
      <c r="K31" s="4">
        <v>15</v>
      </c>
      <c r="L31" s="4">
        <v>28</v>
      </c>
      <c r="M31" s="4">
        <v>22</v>
      </c>
      <c r="N31" s="4">
        <v>226</v>
      </c>
      <c r="O31" s="4">
        <v>85</v>
      </c>
      <c r="P31" s="4">
        <v>482</v>
      </c>
    </row>
    <row r="32" spans="1:16" x14ac:dyDescent="0.45">
      <c r="A32" s="54">
        <v>2</v>
      </c>
      <c r="B32" s="2" t="s">
        <v>159</v>
      </c>
      <c r="C32" s="2" t="s">
        <v>49</v>
      </c>
      <c r="D32" s="3"/>
      <c r="E32" s="3"/>
      <c r="F32" s="3"/>
      <c r="G32" s="3"/>
      <c r="H32" s="4">
        <v>124</v>
      </c>
      <c r="I32" s="4">
        <v>148</v>
      </c>
      <c r="J32" s="4">
        <v>123</v>
      </c>
      <c r="K32" s="4">
        <v>664</v>
      </c>
      <c r="L32" s="4">
        <v>1934</v>
      </c>
      <c r="M32" s="4">
        <v>2679</v>
      </c>
      <c r="N32" s="4">
        <v>2615</v>
      </c>
      <c r="O32" s="4">
        <v>2098</v>
      </c>
      <c r="P32" s="4">
        <v>2676</v>
      </c>
    </row>
    <row r="33" spans="1:16" x14ac:dyDescent="0.45">
      <c r="A33" s="54">
        <v>2</v>
      </c>
      <c r="B33" s="2" t="s">
        <v>159</v>
      </c>
      <c r="C33" s="2" t="s">
        <v>50</v>
      </c>
      <c r="D33" s="3"/>
      <c r="E33" s="3"/>
      <c r="F33" s="3"/>
      <c r="G33" s="3"/>
      <c r="H33" s="4">
        <v>10</v>
      </c>
      <c r="I33" s="4">
        <v>60</v>
      </c>
      <c r="J33" s="4">
        <v>16</v>
      </c>
      <c r="K33" s="4">
        <v>10</v>
      </c>
      <c r="L33" s="4">
        <v>74</v>
      </c>
      <c r="M33" s="4">
        <v>90</v>
      </c>
      <c r="N33" s="4">
        <v>116</v>
      </c>
      <c r="O33" s="4">
        <v>130</v>
      </c>
      <c r="P33" s="4">
        <v>174</v>
      </c>
    </row>
    <row r="34" spans="1:16" x14ac:dyDescent="0.45">
      <c r="A34" s="54">
        <v>3</v>
      </c>
      <c r="B34" s="2" t="s">
        <v>161</v>
      </c>
      <c r="C34" s="2" t="s">
        <v>36</v>
      </c>
      <c r="D34" s="3"/>
      <c r="E34" s="3"/>
      <c r="F34" s="3"/>
      <c r="G34" s="4">
        <v>10</v>
      </c>
      <c r="H34" s="3"/>
      <c r="I34" s="3"/>
      <c r="J34" s="3"/>
      <c r="K34" s="3"/>
      <c r="L34" s="3"/>
      <c r="M34" s="3"/>
      <c r="N34" s="3"/>
      <c r="O34" s="4">
        <v>1</v>
      </c>
      <c r="P34" s="4">
        <v>0</v>
      </c>
    </row>
    <row r="35" spans="1:16" x14ac:dyDescent="0.45">
      <c r="A35" s="54">
        <v>3</v>
      </c>
      <c r="B35" s="2" t="s">
        <v>161</v>
      </c>
      <c r="C35" s="2" t="s">
        <v>37</v>
      </c>
      <c r="D35" s="4">
        <v>2</v>
      </c>
      <c r="E35" s="4">
        <v>0</v>
      </c>
      <c r="F35" s="4">
        <v>2</v>
      </c>
      <c r="G35" s="4">
        <v>0</v>
      </c>
      <c r="H35" s="4">
        <v>19</v>
      </c>
      <c r="I35" s="4">
        <v>2</v>
      </c>
      <c r="J35" s="4">
        <v>27</v>
      </c>
      <c r="K35" s="3"/>
      <c r="L35" s="4">
        <v>158</v>
      </c>
      <c r="M35" s="4">
        <v>71</v>
      </c>
      <c r="N35" s="4">
        <v>18</v>
      </c>
      <c r="O35" s="4">
        <v>193</v>
      </c>
      <c r="P35" s="4">
        <v>9</v>
      </c>
    </row>
    <row r="36" spans="1:16" x14ac:dyDescent="0.45">
      <c r="A36" s="54">
        <v>3</v>
      </c>
      <c r="B36" s="2" t="s">
        <v>161</v>
      </c>
      <c r="C36" s="2" t="s">
        <v>38</v>
      </c>
      <c r="D36" s="4">
        <v>14</v>
      </c>
      <c r="E36" s="4">
        <v>0</v>
      </c>
      <c r="F36" s="4">
        <v>378</v>
      </c>
      <c r="G36" s="4">
        <v>43</v>
      </c>
      <c r="H36" s="4">
        <v>62</v>
      </c>
      <c r="I36" s="4">
        <v>131</v>
      </c>
      <c r="J36" s="4">
        <v>621</v>
      </c>
      <c r="K36" s="4">
        <v>884</v>
      </c>
      <c r="L36" s="4">
        <v>300</v>
      </c>
      <c r="M36" s="4">
        <v>208</v>
      </c>
      <c r="N36" s="4">
        <v>590</v>
      </c>
      <c r="O36" s="4">
        <v>221</v>
      </c>
      <c r="P36" s="4">
        <v>160</v>
      </c>
    </row>
    <row r="37" spans="1:16" x14ac:dyDescent="0.45">
      <c r="A37" s="54">
        <v>3</v>
      </c>
      <c r="B37" s="2" t="s">
        <v>161</v>
      </c>
      <c r="C37" s="2" t="s">
        <v>39</v>
      </c>
      <c r="D37" s="4">
        <v>95</v>
      </c>
      <c r="E37" s="4">
        <v>21</v>
      </c>
      <c r="F37" s="4">
        <v>8</v>
      </c>
      <c r="G37" s="4">
        <v>17</v>
      </c>
      <c r="H37" s="4">
        <v>32</v>
      </c>
      <c r="I37" s="4">
        <v>19</v>
      </c>
      <c r="J37" s="4">
        <v>266</v>
      </c>
      <c r="K37" s="4">
        <v>310</v>
      </c>
      <c r="L37" s="4">
        <v>85</v>
      </c>
      <c r="M37" s="4">
        <v>163</v>
      </c>
      <c r="N37" s="4">
        <v>2257</v>
      </c>
      <c r="O37" s="4">
        <v>1785</v>
      </c>
      <c r="P37" s="4">
        <v>543</v>
      </c>
    </row>
    <row r="38" spans="1:16" x14ac:dyDescent="0.45">
      <c r="A38" s="54">
        <v>3</v>
      </c>
      <c r="B38" s="2" t="s">
        <v>161</v>
      </c>
      <c r="C38" s="2" t="s">
        <v>40</v>
      </c>
      <c r="D38" s="3"/>
      <c r="E38" s="3"/>
      <c r="F38" s="4">
        <v>2</v>
      </c>
      <c r="G38" s="4">
        <v>0</v>
      </c>
      <c r="H38" s="3"/>
      <c r="I38" s="3"/>
      <c r="J38" s="3"/>
      <c r="K38" s="4">
        <v>1</v>
      </c>
      <c r="L38" s="4">
        <v>3</v>
      </c>
      <c r="M38" s="4">
        <v>0</v>
      </c>
      <c r="N38" s="3"/>
      <c r="O38" s="4">
        <v>14</v>
      </c>
      <c r="P38" s="4">
        <v>4</v>
      </c>
    </row>
    <row r="39" spans="1:16" x14ac:dyDescent="0.45">
      <c r="A39" s="54">
        <v>3</v>
      </c>
      <c r="B39" s="2" t="s">
        <v>161</v>
      </c>
      <c r="C39" s="2" t="s">
        <v>42</v>
      </c>
      <c r="D39" s="4">
        <v>2</v>
      </c>
      <c r="E39" s="4">
        <v>0</v>
      </c>
      <c r="F39" s="4">
        <v>1</v>
      </c>
      <c r="G39" s="4">
        <v>6</v>
      </c>
      <c r="H39" s="4">
        <v>55</v>
      </c>
      <c r="I39" s="4">
        <v>0</v>
      </c>
      <c r="J39" s="4">
        <v>1</v>
      </c>
      <c r="K39" s="4">
        <v>3</v>
      </c>
      <c r="L39" s="4">
        <v>10</v>
      </c>
      <c r="M39" s="4">
        <v>3</v>
      </c>
      <c r="N39" s="4">
        <v>7</v>
      </c>
      <c r="O39" s="4">
        <v>163</v>
      </c>
      <c r="P39" s="4">
        <v>7</v>
      </c>
    </row>
    <row r="40" spans="1:16" x14ac:dyDescent="0.45">
      <c r="A40" s="54">
        <v>3</v>
      </c>
      <c r="B40" s="2" t="s">
        <v>161</v>
      </c>
      <c r="C40" s="2" t="s">
        <v>43</v>
      </c>
      <c r="D40" s="4">
        <v>2</v>
      </c>
      <c r="E40" s="4">
        <v>0</v>
      </c>
      <c r="F40" s="4">
        <v>0</v>
      </c>
      <c r="G40" s="4">
        <v>0</v>
      </c>
      <c r="H40" s="3"/>
      <c r="I40" s="4">
        <v>6</v>
      </c>
      <c r="J40" s="4">
        <v>10</v>
      </c>
      <c r="K40" s="4">
        <v>10</v>
      </c>
      <c r="L40" s="4">
        <v>0</v>
      </c>
      <c r="M40" s="4">
        <v>12</v>
      </c>
      <c r="N40" s="4">
        <v>1</v>
      </c>
      <c r="O40" s="4">
        <v>37</v>
      </c>
      <c r="P40" s="4">
        <v>0</v>
      </c>
    </row>
    <row r="41" spans="1:16" x14ac:dyDescent="0.45">
      <c r="A41" s="54">
        <v>3</v>
      </c>
      <c r="B41" s="2" t="s">
        <v>161</v>
      </c>
      <c r="C41" s="2" t="s">
        <v>44</v>
      </c>
      <c r="D41" s="4">
        <v>4</v>
      </c>
      <c r="E41" s="4">
        <v>8</v>
      </c>
      <c r="F41" s="4">
        <v>16</v>
      </c>
      <c r="G41" s="4">
        <v>2</v>
      </c>
      <c r="H41" s="4">
        <v>876</v>
      </c>
      <c r="I41" s="4">
        <v>8</v>
      </c>
      <c r="J41" s="4">
        <v>579</v>
      </c>
      <c r="K41" s="4">
        <v>1340</v>
      </c>
      <c r="L41" s="4">
        <v>258</v>
      </c>
      <c r="M41" s="4">
        <v>1968</v>
      </c>
      <c r="N41" s="4">
        <v>2175</v>
      </c>
      <c r="O41" s="4">
        <v>1410</v>
      </c>
      <c r="P41" s="4">
        <v>1155</v>
      </c>
    </row>
    <row r="42" spans="1:16" x14ac:dyDescent="0.45">
      <c r="A42" s="54">
        <v>3</v>
      </c>
      <c r="B42" s="2" t="s">
        <v>161</v>
      </c>
      <c r="C42" s="2" t="s">
        <v>45</v>
      </c>
      <c r="D42" s="4">
        <v>8041</v>
      </c>
      <c r="E42" s="4">
        <v>0</v>
      </c>
      <c r="F42" s="4">
        <v>1</v>
      </c>
      <c r="G42" s="4">
        <v>1842</v>
      </c>
      <c r="H42" s="4">
        <v>603</v>
      </c>
      <c r="I42" s="4">
        <v>247</v>
      </c>
      <c r="J42" s="4">
        <v>1332</v>
      </c>
      <c r="K42" s="4">
        <v>762</v>
      </c>
      <c r="L42" s="4">
        <v>141</v>
      </c>
      <c r="M42" s="4">
        <v>651</v>
      </c>
      <c r="N42" s="4">
        <v>437</v>
      </c>
      <c r="O42" s="4">
        <v>698</v>
      </c>
      <c r="P42" s="4">
        <v>1033</v>
      </c>
    </row>
    <row r="43" spans="1:16" x14ac:dyDescent="0.45">
      <c r="A43" s="54">
        <v>3</v>
      </c>
      <c r="B43" s="2" t="s">
        <v>161</v>
      </c>
      <c r="C43" s="2" t="s">
        <v>46</v>
      </c>
      <c r="D43" s="4">
        <v>2</v>
      </c>
      <c r="E43" s="4">
        <v>8</v>
      </c>
      <c r="F43" s="4">
        <v>0</v>
      </c>
      <c r="G43" s="4">
        <v>90</v>
      </c>
      <c r="H43" s="4">
        <v>27</v>
      </c>
      <c r="I43" s="4">
        <v>113</v>
      </c>
      <c r="J43" s="4">
        <v>6</v>
      </c>
      <c r="K43" s="4">
        <v>48</v>
      </c>
      <c r="L43" s="4">
        <v>26</v>
      </c>
      <c r="M43" s="4">
        <v>51</v>
      </c>
      <c r="N43" s="4">
        <v>20</v>
      </c>
      <c r="O43" s="4">
        <v>388</v>
      </c>
      <c r="P43" s="4">
        <v>38</v>
      </c>
    </row>
    <row r="44" spans="1:16" x14ac:dyDescent="0.45">
      <c r="A44" s="54">
        <v>3</v>
      </c>
      <c r="B44" s="2" t="s">
        <v>161</v>
      </c>
      <c r="C44" s="2" t="s">
        <v>47</v>
      </c>
      <c r="D44" s="4">
        <v>1</v>
      </c>
      <c r="E44" s="3"/>
      <c r="F44" s="3"/>
      <c r="G44" s="4">
        <v>9</v>
      </c>
      <c r="H44" s="4">
        <v>4</v>
      </c>
      <c r="I44" s="4">
        <v>2</v>
      </c>
      <c r="J44" s="4">
        <v>105</v>
      </c>
      <c r="K44" s="4">
        <v>5</v>
      </c>
      <c r="L44" s="4">
        <v>20</v>
      </c>
      <c r="M44" s="4">
        <v>53</v>
      </c>
      <c r="N44" s="4">
        <v>18</v>
      </c>
      <c r="O44" s="4">
        <v>15</v>
      </c>
      <c r="P44" s="4">
        <v>29</v>
      </c>
    </row>
    <row r="45" spans="1:16" x14ac:dyDescent="0.45">
      <c r="A45" s="54">
        <v>3</v>
      </c>
      <c r="B45" s="2" t="s">
        <v>161</v>
      </c>
      <c r="C45" s="2" t="s">
        <v>48</v>
      </c>
      <c r="D45" s="4">
        <v>0</v>
      </c>
      <c r="E45" s="4">
        <v>0</v>
      </c>
      <c r="F45" s="4">
        <v>0</v>
      </c>
      <c r="G45" s="4">
        <v>0</v>
      </c>
      <c r="H45" s="4">
        <v>10</v>
      </c>
      <c r="I45" s="4">
        <v>0</v>
      </c>
      <c r="J45" s="4">
        <v>1</v>
      </c>
      <c r="K45" s="4">
        <v>1</v>
      </c>
      <c r="L45" s="4">
        <v>0</v>
      </c>
      <c r="M45" s="4">
        <v>1</v>
      </c>
      <c r="N45" s="3"/>
      <c r="O45" s="4">
        <v>8</v>
      </c>
      <c r="P45" s="4">
        <v>3</v>
      </c>
    </row>
    <row r="46" spans="1:16" x14ac:dyDescent="0.45">
      <c r="A46" s="54">
        <v>3</v>
      </c>
      <c r="B46" s="2" t="s">
        <v>161</v>
      </c>
      <c r="C46" s="2" t="s">
        <v>49</v>
      </c>
      <c r="D46" s="4">
        <v>426</v>
      </c>
      <c r="E46" s="4">
        <v>410</v>
      </c>
      <c r="F46" s="4">
        <v>2614</v>
      </c>
      <c r="G46" s="4">
        <v>803</v>
      </c>
      <c r="H46" s="4">
        <v>1166</v>
      </c>
      <c r="I46" s="4">
        <v>761</v>
      </c>
      <c r="J46" s="4">
        <v>1645</v>
      </c>
      <c r="K46" s="4">
        <v>2304</v>
      </c>
      <c r="L46" s="4">
        <v>1217</v>
      </c>
      <c r="M46" s="4">
        <v>861</v>
      </c>
      <c r="N46" s="4">
        <v>867</v>
      </c>
      <c r="O46" s="4">
        <v>1754</v>
      </c>
      <c r="P46" s="4">
        <v>872</v>
      </c>
    </row>
    <row r="47" spans="1:16" x14ac:dyDescent="0.45">
      <c r="A47" s="54">
        <v>3</v>
      </c>
      <c r="B47" s="2" t="s">
        <v>161</v>
      </c>
      <c r="C47" s="2" t="s">
        <v>50</v>
      </c>
      <c r="D47" s="4">
        <v>-18</v>
      </c>
      <c r="E47" s="3"/>
      <c r="F47" s="4">
        <v>0</v>
      </c>
      <c r="G47" s="3"/>
      <c r="H47" s="3"/>
      <c r="I47" s="4">
        <v>2</v>
      </c>
      <c r="J47" s="4">
        <v>1</v>
      </c>
      <c r="K47" s="4">
        <v>0</v>
      </c>
      <c r="L47" s="4">
        <v>0</v>
      </c>
      <c r="M47" s="4">
        <v>14</v>
      </c>
      <c r="N47" s="4">
        <v>15</v>
      </c>
      <c r="O47" s="4">
        <v>41</v>
      </c>
      <c r="P47" s="4">
        <v>1</v>
      </c>
    </row>
    <row r="48" spans="1:16" x14ac:dyDescent="0.45">
      <c r="A48" s="54">
        <v>4</v>
      </c>
      <c r="B48" s="2" t="s">
        <v>190</v>
      </c>
      <c r="C48" s="2" t="s">
        <v>36</v>
      </c>
      <c r="D48" s="4">
        <v>1102</v>
      </c>
      <c r="E48" s="4">
        <v>313</v>
      </c>
      <c r="F48" s="4">
        <v>1245</v>
      </c>
      <c r="G48" s="4">
        <v>232</v>
      </c>
      <c r="H48" s="4">
        <v>974</v>
      </c>
      <c r="I48" s="4">
        <v>266</v>
      </c>
      <c r="J48" s="4">
        <v>2027</v>
      </c>
      <c r="K48" s="4">
        <v>1304</v>
      </c>
      <c r="L48" s="4">
        <v>2048</v>
      </c>
      <c r="M48" s="4">
        <v>343</v>
      </c>
      <c r="N48" s="4">
        <v>1283</v>
      </c>
      <c r="O48" s="4">
        <v>3371</v>
      </c>
      <c r="P48" s="4">
        <v>201</v>
      </c>
    </row>
    <row r="49" spans="1:16" x14ac:dyDescent="0.45">
      <c r="A49" s="54">
        <v>4</v>
      </c>
      <c r="B49" s="2" t="s">
        <v>190</v>
      </c>
      <c r="C49" s="2" t="s">
        <v>37</v>
      </c>
      <c r="D49" s="4">
        <v>191</v>
      </c>
      <c r="E49" s="4">
        <v>406</v>
      </c>
      <c r="F49" s="4">
        <v>89</v>
      </c>
      <c r="G49" s="4">
        <v>411</v>
      </c>
      <c r="H49" s="4">
        <v>210</v>
      </c>
      <c r="I49" s="4">
        <v>138</v>
      </c>
      <c r="J49" s="4">
        <v>276</v>
      </c>
      <c r="K49" s="4">
        <v>496</v>
      </c>
      <c r="L49" s="4">
        <v>521</v>
      </c>
      <c r="M49" s="4">
        <v>336</v>
      </c>
      <c r="N49" s="4">
        <v>12</v>
      </c>
      <c r="O49" s="4">
        <v>121</v>
      </c>
      <c r="P49" s="4">
        <v>24</v>
      </c>
    </row>
    <row r="50" spans="1:16" x14ac:dyDescent="0.45">
      <c r="A50" s="54">
        <v>4</v>
      </c>
      <c r="B50" s="2" t="s">
        <v>190</v>
      </c>
      <c r="C50" s="2" t="s">
        <v>38</v>
      </c>
      <c r="D50" s="4">
        <v>834</v>
      </c>
      <c r="E50" s="4">
        <v>2002</v>
      </c>
      <c r="F50" s="4">
        <v>1130</v>
      </c>
      <c r="G50" s="4">
        <v>855</v>
      </c>
      <c r="H50" s="4">
        <v>3887</v>
      </c>
      <c r="I50" s="4">
        <v>1856</v>
      </c>
      <c r="J50" s="4">
        <v>1801</v>
      </c>
      <c r="K50" s="4">
        <v>1355</v>
      </c>
      <c r="L50" s="4">
        <v>4398</v>
      </c>
      <c r="M50" s="4">
        <v>1827</v>
      </c>
      <c r="N50" s="4">
        <v>3856</v>
      </c>
      <c r="O50" s="4">
        <v>3504</v>
      </c>
      <c r="P50" s="4">
        <v>1587</v>
      </c>
    </row>
    <row r="51" spans="1:16" x14ac:dyDescent="0.45">
      <c r="A51" s="54">
        <v>4</v>
      </c>
      <c r="B51" s="2" t="s">
        <v>190</v>
      </c>
      <c r="C51" s="2" t="s">
        <v>39</v>
      </c>
      <c r="D51" s="4">
        <v>4591</v>
      </c>
      <c r="E51" s="4">
        <v>6996</v>
      </c>
      <c r="F51" s="4">
        <v>2842</v>
      </c>
      <c r="G51" s="4">
        <v>3786</v>
      </c>
      <c r="H51" s="4">
        <v>4908</v>
      </c>
      <c r="I51" s="4">
        <v>2199</v>
      </c>
      <c r="J51" s="4">
        <v>5980</v>
      </c>
      <c r="K51" s="4">
        <v>6212</v>
      </c>
      <c r="L51" s="4">
        <v>9979</v>
      </c>
      <c r="M51" s="4">
        <v>3705</v>
      </c>
      <c r="N51" s="4">
        <v>1910</v>
      </c>
      <c r="O51" s="4">
        <v>6820</v>
      </c>
      <c r="P51" s="4">
        <v>2239</v>
      </c>
    </row>
    <row r="52" spans="1:16" x14ac:dyDescent="0.45">
      <c r="A52" s="54">
        <v>4</v>
      </c>
      <c r="B52" s="2" t="s">
        <v>190</v>
      </c>
      <c r="C52" s="2" t="s">
        <v>40</v>
      </c>
      <c r="D52" s="4">
        <v>1027</v>
      </c>
      <c r="E52" s="4">
        <v>429</v>
      </c>
      <c r="F52" s="4">
        <v>60</v>
      </c>
      <c r="G52" s="4">
        <v>103</v>
      </c>
      <c r="H52" s="4">
        <v>448</v>
      </c>
      <c r="I52" s="4">
        <v>337</v>
      </c>
      <c r="J52" s="4">
        <v>194</v>
      </c>
      <c r="K52" s="4">
        <v>589</v>
      </c>
      <c r="L52" s="4">
        <v>412</v>
      </c>
      <c r="M52" s="4">
        <v>482</v>
      </c>
      <c r="N52" s="4">
        <v>73</v>
      </c>
      <c r="O52" s="4">
        <v>969</v>
      </c>
      <c r="P52" s="4">
        <v>869</v>
      </c>
    </row>
    <row r="53" spans="1:16" x14ac:dyDescent="0.45">
      <c r="A53" s="54">
        <v>4</v>
      </c>
      <c r="B53" s="2" t="s">
        <v>190</v>
      </c>
      <c r="C53" s="2" t="s">
        <v>41</v>
      </c>
      <c r="D53" s="4">
        <v>5</v>
      </c>
      <c r="E53" s="4">
        <v>119</v>
      </c>
      <c r="F53" s="4">
        <v>58</v>
      </c>
      <c r="G53" s="4">
        <v>0</v>
      </c>
      <c r="H53" s="3"/>
      <c r="I53" s="4">
        <v>0</v>
      </c>
      <c r="J53" s="4">
        <v>0</v>
      </c>
      <c r="K53" s="4">
        <v>20</v>
      </c>
      <c r="L53" s="4">
        <v>2</v>
      </c>
      <c r="M53" s="4">
        <v>0</v>
      </c>
      <c r="N53" s="3"/>
      <c r="O53" s="4">
        <v>0</v>
      </c>
      <c r="P53" s="4">
        <v>40</v>
      </c>
    </row>
    <row r="54" spans="1:16" x14ac:dyDescent="0.45">
      <c r="A54" s="54">
        <v>4</v>
      </c>
      <c r="B54" s="2" t="s">
        <v>190</v>
      </c>
      <c r="C54" s="2" t="s">
        <v>42</v>
      </c>
      <c r="D54" s="4">
        <v>53</v>
      </c>
      <c r="E54" s="4">
        <v>978</v>
      </c>
      <c r="F54" s="4">
        <v>610</v>
      </c>
      <c r="G54" s="4">
        <v>506</v>
      </c>
      <c r="H54" s="4">
        <v>588</v>
      </c>
      <c r="I54" s="4">
        <v>503</v>
      </c>
      <c r="J54" s="4">
        <v>550</v>
      </c>
      <c r="K54" s="4">
        <v>991</v>
      </c>
      <c r="L54" s="4">
        <v>1013</v>
      </c>
      <c r="M54" s="4">
        <v>884</v>
      </c>
      <c r="N54" s="4">
        <v>421</v>
      </c>
      <c r="O54" s="4">
        <v>889</v>
      </c>
      <c r="P54" s="4">
        <v>1002</v>
      </c>
    </row>
    <row r="55" spans="1:16" x14ac:dyDescent="0.45">
      <c r="A55" s="54">
        <v>4</v>
      </c>
      <c r="B55" s="2" t="s">
        <v>190</v>
      </c>
      <c r="C55" s="2" t="s">
        <v>43</v>
      </c>
      <c r="D55" s="4">
        <v>227</v>
      </c>
      <c r="E55" s="4">
        <v>18</v>
      </c>
      <c r="F55" s="4">
        <v>2</v>
      </c>
      <c r="G55" s="4">
        <v>220</v>
      </c>
      <c r="H55" s="4">
        <v>103</v>
      </c>
      <c r="I55" s="4">
        <v>0</v>
      </c>
      <c r="J55" s="4">
        <v>375</v>
      </c>
      <c r="K55" s="4">
        <v>3</v>
      </c>
      <c r="L55" s="4">
        <v>0</v>
      </c>
      <c r="M55" s="4">
        <v>2</v>
      </c>
      <c r="N55" s="4">
        <v>1850</v>
      </c>
      <c r="O55" s="4">
        <v>5</v>
      </c>
      <c r="P55" s="4">
        <v>0</v>
      </c>
    </row>
    <row r="56" spans="1:16" x14ac:dyDescent="0.45">
      <c r="A56" s="54">
        <v>4</v>
      </c>
      <c r="B56" s="2" t="s">
        <v>190</v>
      </c>
      <c r="C56" s="2" t="s">
        <v>44</v>
      </c>
      <c r="D56" s="4">
        <v>1547</v>
      </c>
      <c r="E56" s="4">
        <v>769</v>
      </c>
      <c r="F56" s="4">
        <v>881</v>
      </c>
      <c r="G56" s="4">
        <v>1544</v>
      </c>
      <c r="H56" s="4">
        <v>323</v>
      </c>
      <c r="I56" s="4">
        <v>859</v>
      </c>
      <c r="J56" s="4">
        <v>234</v>
      </c>
      <c r="K56" s="4">
        <v>706</v>
      </c>
      <c r="L56" s="4">
        <v>1255</v>
      </c>
      <c r="M56" s="4">
        <v>2098</v>
      </c>
      <c r="N56" s="4">
        <v>1080</v>
      </c>
      <c r="O56" s="4">
        <v>964</v>
      </c>
      <c r="P56" s="4">
        <v>997</v>
      </c>
    </row>
    <row r="57" spans="1:16" x14ac:dyDescent="0.45">
      <c r="A57" s="54">
        <v>4</v>
      </c>
      <c r="B57" s="2" t="s">
        <v>190</v>
      </c>
      <c r="C57" s="2" t="s">
        <v>45</v>
      </c>
      <c r="D57" s="4">
        <v>419</v>
      </c>
      <c r="E57" s="4">
        <v>436</v>
      </c>
      <c r="F57" s="4">
        <v>5988</v>
      </c>
      <c r="G57" s="4">
        <v>1321</v>
      </c>
      <c r="H57" s="4">
        <v>603</v>
      </c>
      <c r="I57" s="4">
        <v>135</v>
      </c>
      <c r="J57" s="4">
        <v>1140</v>
      </c>
      <c r="K57" s="4">
        <v>1485</v>
      </c>
      <c r="L57" s="4">
        <v>445</v>
      </c>
      <c r="M57" s="4">
        <v>927</v>
      </c>
      <c r="N57" s="4">
        <v>744</v>
      </c>
      <c r="O57" s="4">
        <v>679</v>
      </c>
      <c r="P57" s="4">
        <v>1684</v>
      </c>
    </row>
    <row r="58" spans="1:16" x14ac:dyDescent="0.45">
      <c r="A58" s="54">
        <v>4</v>
      </c>
      <c r="B58" s="2" t="s">
        <v>190</v>
      </c>
      <c r="C58" s="2" t="s">
        <v>46</v>
      </c>
      <c r="D58" s="4">
        <v>258</v>
      </c>
      <c r="E58" s="4">
        <v>230</v>
      </c>
      <c r="F58" s="4">
        <v>3345</v>
      </c>
      <c r="G58" s="4">
        <v>171</v>
      </c>
      <c r="H58" s="4">
        <v>10</v>
      </c>
      <c r="I58" s="4">
        <v>-48</v>
      </c>
      <c r="J58" s="4">
        <v>1026</v>
      </c>
      <c r="K58" s="4">
        <v>135</v>
      </c>
      <c r="L58" s="4">
        <v>624</v>
      </c>
      <c r="M58" s="4">
        <v>19</v>
      </c>
      <c r="N58" s="4">
        <v>795</v>
      </c>
      <c r="O58" s="4">
        <v>290</v>
      </c>
      <c r="P58" s="4">
        <v>219</v>
      </c>
    </row>
    <row r="59" spans="1:16" x14ac:dyDescent="0.45">
      <c r="A59" s="54">
        <v>4</v>
      </c>
      <c r="B59" s="2" t="s">
        <v>190</v>
      </c>
      <c r="C59" s="2" t="s">
        <v>47</v>
      </c>
      <c r="D59" s="4">
        <v>8</v>
      </c>
      <c r="E59" s="4">
        <v>15</v>
      </c>
      <c r="F59" s="4">
        <v>592</v>
      </c>
      <c r="G59" s="4">
        <v>42</v>
      </c>
      <c r="H59" s="4">
        <v>165</v>
      </c>
      <c r="I59" s="4">
        <v>49</v>
      </c>
      <c r="J59" s="4">
        <v>18</v>
      </c>
      <c r="K59" s="4">
        <v>285</v>
      </c>
      <c r="L59" s="4">
        <v>280</v>
      </c>
      <c r="M59" s="4">
        <v>287</v>
      </c>
      <c r="N59" s="4">
        <v>50</v>
      </c>
      <c r="O59" s="4">
        <v>28</v>
      </c>
      <c r="P59" s="4">
        <v>164</v>
      </c>
    </row>
    <row r="60" spans="1:16" x14ac:dyDescent="0.45">
      <c r="A60" s="54">
        <v>4</v>
      </c>
      <c r="B60" s="2" t="s">
        <v>190</v>
      </c>
      <c r="C60" s="2" t="s">
        <v>48</v>
      </c>
      <c r="D60" s="4">
        <v>546</v>
      </c>
      <c r="E60" s="4">
        <v>101</v>
      </c>
      <c r="F60" s="4">
        <v>67</v>
      </c>
      <c r="G60" s="4">
        <v>336</v>
      </c>
      <c r="H60" s="4">
        <v>454</v>
      </c>
      <c r="I60" s="4">
        <v>478</v>
      </c>
      <c r="J60" s="4">
        <v>102</v>
      </c>
      <c r="K60" s="4">
        <v>60</v>
      </c>
      <c r="L60" s="4">
        <v>55</v>
      </c>
      <c r="M60" s="4">
        <v>60</v>
      </c>
      <c r="N60" s="4">
        <v>69</v>
      </c>
      <c r="O60" s="4">
        <v>104</v>
      </c>
      <c r="P60" s="4">
        <v>204</v>
      </c>
    </row>
    <row r="61" spans="1:16" x14ac:dyDescent="0.45">
      <c r="A61" s="54">
        <v>4</v>
      </c>
      <c r="B61" s="2" t="s">
        <v>190</v>
      </c>
      <c r="C61" s="2" t="s">
        <v>49</v>
      </c>
      <c r="D61" s="4">
        <v>6670</v>
      </c>
      <c r="E61" s="4">
        <v>8636</v>
      </c>
      <c r="F61" s="4">
        <v>6463</v>
      </c>
      <c r="G61" s="4">
        <v>4163</v>
      </c>
      <c r="H61" s="4">
        <v>9049</v>
      </c>
      <c r="I61" s="4">
        <v>7582</v>
      </c>
      <c r="J61" s="4">
        <v>5311</v>
      </c>
      <c r="K61" s="4">
        <v>6729</v>
      </c>
      <c r="L61" s="4">
        <v>5607</v>
      </c>
      <c r="M61" s="4">
        <v>8024</v>
      </c>
      <c r="N61" s="4">
        <v>8371</v>
      </c>
      <c r="O61" s="4">
        <v>3620</v>
      </c>
      <c r="P61" s="4">
        <v>2225</v>
      </c>
    </row>
    <row r="62" spans="1:16" x14ac:dyDescent="0.45">
      <c r="A62" s="54">
        <v>4</v>
      </c>
      <c r="B62" s="2" t="s">
        <v>190</v>
      </c>
      <c r="C62" s="2" t="s">
        <v>50</v>
      </c>
      <c r="D62" s="4">
        <v>-173</v>
      </c>
      <c r="E62" s="4">
        <v>1109</v>
      </c>
      <c r="F62" s="4">
        <v>63</v>
      </c>
      <c r="G62" s="4">
        <v>165</v>
      </c>
      <c r="H62" s="4">
        <v>45</v>
      </c>
      <c r="I62" s="4">
        <v>37</v>
      </c>
      <c r="J62" s="4">
        <v>72</v>
      </c>
      <c r="K62" s="4">
        <v>1223</v>
      </c>
      <c r="L62" s="4">
        <v>218</v>
      </c>
      <c r="M62" s="4">
        <v>186</v>
      </c>
      <c r="N62" s="4">
        <v>1503</v>
      </c>
      <c r="O62" s="4">
        <v>1790</v>
      </c>
      <c r="P62" s="4">
        <v>204</v>
      </c>
    </row>
    <row r="63" spans="1:16" x14ac:dyDescent="0.45">
      <c r="A63" s="54">
        <v>5</v>
      </c>
      <c r="B63" s="2" t="s">
        <v>8</v>
      </c>
      <c r="C63" s="2" t="s">
        <v>36</v>
      </c>
      <c r="D63" s="4">
        <v>4</v>
      </c>
      <c r="E63" s="4">
        <v>2</v>
      </c>
      <c r="F63" s="4">
        <v>6</v>
      </c>
      <c r="G63" s="4">
        <v>2</v>
      </c>
      <c r="H63" s="4">
        <v>1</v>
      </c>
      <c r="I63" s="4">
        <v>10</v>
      </c>
      <c r="J63" s="4">
        <v>1</v>
      </c>
      <c r="K63" s="4">
        <v>1</v>
      </c>
      <c r="L63" s="4">
        <v>15</v>
      </c>
      <c r="M63" s="4">
        <v>9</v>
      </c>
      <c r="N63" s="4">
        <v>2</v>
      </c>
      <c r="O63" s="4">
        <v>18</v>
      </c>
      <c r="P63" s="4">
        <v>0</v>
      </c>
    </row>
    <row r="64" spans="1:16" x14ac:dyDescent="0.45">
      <c r="A64" s="54">
        <v>5</v>
      </c>
      <c r="B64" s="2" t="s">
        <v>8</v>
      </c>
      <c r="C64" s="2" t="s">
        <v>37</v>
      </c>
      <c r="D64" s="4">
        <v>74</v>
      </c>
      <c r="E64" s="4">
        <v>0</v>
      </c>
      <c r="F64" s="4">
        <v>29</v>
      </c>
      <c r="G64" s="4">
        <v>5</v>
      </c>
      <c r="H64" s="4">
        <v>15</v>
      </c>
      <c r="I64" s="4">
        <v>5</v>
      </c>
      <c r="J64" s="4">
        <v>20</v>
      </c>
      <c r="K64" s="4">
        <v>48</v>
      </c>
      <c r="L64" s="4">
        <v>18</v>
      </c>
      <c r="M64" s="4">
        <v>64</v>
      </c>
      <c r="N64" s="4">
        <v>122</v>
      </c>
      <c r="O64" s="4">
        <v>98</v>
      </c>
      <c r="P64" s="4">
        <v>84</v>
      </c>
    </row>
    <row r="65" spans="1:16" x14ac:dyDescent="0.45">
      <c r="A65" s="54">
        <v>5</v>
      </c>
      <c r="B65" s="2" t="s">
        <v>8</v>
      </c>
      <c r="C65" s="2" t="s">
        <v>38</v>
      </c>
      <c r="D65" s="4">
        <v>5</v>
      </c>
      <c r="E65" s="4">
        <v>11</v>
      </c>
      <c r="F65" s="4">
        <v>0</v>
      </c>
      <c r="G65" s="4">
        <v>2</v>
      </c>
      <c r="H65" s="4">
        <v>51</v>
      </c>
      <c r="I65" s="4">
        <v>2</v>
      </c>
      <c r="J65" s="4">
        <v>4</v>
      </c>
      <c r="K65" s="4">
        <v>21</v>
      </c>
      <c r="L65" s="4">
        <v>23</v>
      </c>
      <c r="M65" s="4">
        <v>94</v>
      </c>
      <c r="N65" s="4">
        <v>84</v>
      </c>
      <c r="O65" s="4">
        <v>84</v>
      </c>
      <c r="P65" s="4">
        <v>53</v>
      </c>
    </row>
    <row r="66" spans="1:16" x14ac:dyDescent="0.45">
      <c r="A66" s="54">
        <v>5</v>
      </c>
      <c r="B66" s="2" t="s">
        <v>8</v>
      </c>
      <c r="C66" s="2" t="s">
        <v>39</v>
      </c>
      <c r="D66" s="4">
        <v>43</v>
      </c>
      <c r="E66" s="4">
        <v>328</v>
      </c>
      <c r="F66" s="4">
        <v>73</v>
      </c>
      <c r="G66" s="4">
        <v>93</v>
      </c>
      <c r="H66" s="4">
        <v>11</v>
      </c>
      <c r="I66" s="4">
        <v>20</v>
      </c>
      <c r="J66" s="4">
        <v>39</v>
      </c>
      <c r="K66" s="4">
        <v>67</v>
      </c>
      <c r="L66" s="4">
        <v>146</v>
      </c>
      <c r="M66" s="4">
        <v>50</v>
      </c>
      <c r="N66" s="4">
        <v>79</v>
      </c>
      <c r="O66" s="4">
        <v>106</v>
      </c>
      <c r="P66" s="4">
        <v>75</v>
      </c>
    </row>
    <row r="67" spans="1:16" x14ac:dyDescent="0.45">
      <c r="A67" s="54">
        <v>5</v>
      </c>
      <c r="B67" s="2" t="s">
        <v>8</v>
      </c>
      <c r="C67" s="2" t="s">
        <v>40</v>
      </c>
      <c r="D67" s="3"/>
      <c r="E67" s="3"/>
      <c r="F67" s="3"/>
      <c r="G67" s="3"/>
      <c r="H67" s="3"/>
      <c r="I67" s="4">
        <v>0</v>
      </c>
      <c r="J67" s="4">
        <v>7</v>
      </c>
      <c r="K67" s="4">
        <v>3</v>
      </c>
      <c r="L67" s="3"/>
      <c r="M67" s="4">
        <v>2</v>
      </c>
      <c r="N67" s="3"/>
      <c r="O67" s="4">
        <v>3</v>
      </c>
      <c r="P67" s="4">
        <v>8</v>
      </c>
    </row>
    <row r="68" spans="1:16" x14ac:dyDescent="0.45">
      <c r="A68" s="54">
        <v>5</v>
      </c>
      <c r="B68" s="2" t="s">
        <v>8</v>
      </c>
      <c r="C68" s="2" t="s">
        <v>42</v>
      </c>
      <c r="D68" s="4">
        <v>101</v>
      </c>
      <c r="E68" s="4">
        <v>288</v>
      </c>
      <c r="F68" s="4">
        <v>198</v>
      </c>
      <c r="G68" s="4">
        <v>114</v>
      </c>
      <c r="H68" s="4">
        <v>196</v>
      </c>
      <c r="I68" s="4">
        <v>67</v>
      </c>
      <c r="J68" s="4">
        <v>72</v>
      </c>
      <c r="K68" s="4">
        <v>139</v>
      </c>
      <c r="L68" s="4">
        <v>145</v>
      </c>
      <c r="M68" s="4">
        <v>137</v>
      </c>
      <c r="N68" s="4">
        <v>222</v>
      </c>
      <c r="O68" s="4">
        <v>147</v>
      </c>
      <c r="P68" s="4">
        <v>129</v>
      </c>
    </row>
    <row r="69" spans="1:16" x14ac:dyDescent="0.45">
      <c r="A69" s="54">
        <v>5</v>
      </c>
      <c r="B69" s="2" t="s">
        <v>8</v>
      </c>
      <c r="C69" s="2" t="s">
        <v>43</v>
      </c>
      <c r="D69" s="3"/>
      <c r="E69" s="4">
        <v>80</v>
      </c>
      <c r="F69" s="3"/>
      <c r="G69" s="4">
        <v>0</v>
      </c>
      <c r="H69" s="3"/>
      <c r="I69" s="3"/>
      <c r="J69" s="3"/>
      <c r="K69" s="4">
        <v>10</v>
      </c>
      <c r="L69" s="4">
        <v>0</v>
      </c>
      <c r="M69" s="3"/>
      <c r="N69" s="4">
        <v>1</v>
      </c>
      <c r="O69" s="4">
        <v>2</v>
      </c>
      <c r="P69" s="4">
        <v>4</v>
      </c>
    </row>
    <row r="70" spans="1:16" x14ac:dyDescent="0.45">
      <c r="A70" s="54">
        <v>5</v>
      </c>
      <c r="B70" s="2" t="s">
        <v>8</v>
      </c>
      <c r="C70" s="2" t="s">
        <v>44</v>
      </c>
      <c r="D70" s="4">
        <v>64</v>
      </c>
      <c r="E70" s="4">
        <v>49</v>
      </c>
      <c r="F70" s="4">
        <v>152</v>
      </c>
      <c r="G70" s="4">
        <v>449</v>
      </c>
      <c r="H70" s="4">
        <v>39</v>
      </c>
      <c r="I70" s="4">
        <v>63</v>
      </c>
      <c r="J70" s="4">
        <v>62</v>
      </c>
      <c r="K70" s="4">
        <v>344</v>
      </c>
      <c r="L70" s="4">
        <v>380</v>
      </c>
      <c r="M70" s="4">
        <v>915</v>
      </c>
      <c r="N70" s="4">
        <v>742</v>
      </c>
      <c r="O70" s="4">
        <v>803</v>
      </c>
      <c r="P70" s="4">
        <v>560</v>
      </c>
    </row>
    <row r="71" spans="1:16" x14ac:dyDescent="0.45">
      <c r="A71" s="54">
        <v>5</v>
      </c>
      <c r="B71" s="2" t="s">
        <v>8</v>
      </c>
      <c r="C71" s="2" t="s">
        <v>45</v>
      </c>
      <c r="D71" s="3"/>
      <c r="E71" s="4">
        <v>27</v>
      </c>
      <c r="F71" s="4">
        <v>0</v>
      </c>
      <c r="G71" s="4">
        <v>0</v>
      </c>
      <c r="H71" s="4">
        <v>2</v>
      </c>
      <c r="I71" s="3"/>
      <c r="J71" s="3"/>
      <c r="K71" s="4">
        <v>0</v>
      </c>
      <c r="L71" s="4">
        <v>2</v>
      </c>
      <c r="M71" s="4">
        <v>1</v>
      </c>
      <c r="N71" s="4">
        <v>24</v>
      </c>
      <c r="O71" s="4">
        <v>0</v>
      </c>
      <c r="P71" s="4">
        <v>7</v>
      </c>
    </row>
    <row r="72" spans="1:16" x14ac:dyDescent="0.45">
      <c r="A72" s="54">
        <v>5</v>
      </c>
      <c r="B72" s="2" t="s">
        <v>8</v>
      </c>
      <c r="C72" s="2" t="s">
        <v>46</v>
      </c>
      <c r="D72" s="4">
        <v>3</v>
      </c>
      <c r="E72" s="4">
        <v>-3</v>
      </c>
      <c r="F72" s="4">
        <v>1</v>
      </c>
      <c r="G72" s="4">
        <v>0</v>
      </c>
      <c r="H72" s="4">
        <v>0</v>
      </c>
      <c r="I72" s="4">
        <v>5</v>
      </c>
      <c r="J72" s="3"/>
      <c r="K72" s="3"/>
      <c r="L72" s="4">
        <v>1</v>
      </c>
      <c r="M72" s="4">
        <v>6</v>
      </c>
      <c r="N72" s="3"/>
      <c r="O72" s="4">
        <v>11</v>
      </c>
      <c r="P72" s="4">
        <v>2</v>
      </c>
    </row>
    <row r="73" spans="1:16" x14ac:dyDescent="0.45">
      <c r="A73" s="54">
        <v>5</v>
      </c>
      <c r="B73" s="2" t="s">
        <v>8</v>
      </c>
      <c r="C73" s="2" t="s">
        <v>47</v>
      </c>
      <c r="D73" s="4">
        <v>1</v>
      </c>
      <c r="E73" s="4">
        <v>2</v>
      </c>
      <c r="F73" s="4">
        <v>2</v>
      </c>
      <c r="G73" s="4">
        <v>0</v>
      </c>
      <c r="H73" s="4">
        <v>1</v>
      </c>
      <c r="I73" s="4">
        <v>0</v>
      </c>
      <c r="J73" s="4">
        <v>3</v>
      </c>
      <c r="K73" s="4">
        <v>1</v>
      </c>
      <c r="L73" s="4">
        <v>0</v>
      </c>
      <c r="M73" s="4">
        <v>15</v>
      </c>
      <c r="N73" s="4">
        <v>163</v>
      </c>
      <c r="O73" s="4">
        <v>14</v>
      </c>
      <c r="P73" s="4">
        <v>29</v>
      </c>
    </row>
    <row r="74" spans="1:16" x14ac:dyDescent="0.45">
      <c r="A74" s="54">
        <v>5</v>
      </c>
      <c r="B74" s="2" t="s">
        <v>8</v>
      </c>
      <c r="C74" s="2" t="s">
        <v>48</v>
      </c>
      <c r="D74" s="4">
        <v>494</v>
      </c>
      <c r="E74" s="4">
        <v>29</v>
      </c>
      <c r="F74" s="4">
        <v>64</v>
      </c>
      <c r="G74" s="4">
        <v>98</v>
      </c>
      <c r="H74" s="4">
        <v>63</v>
      </c>
      <c r="I74" s="4">
        <v>230</v>
      </c>
      <c r="J74" s="4">
        <v>8</v>
      </c>
      <c r="K74" s="4">
        <v>85</v>
      </c>
      <c r="L74" s="4">
        <v>50</v>
      </c>
      <c r="M74" s="4">
        <v>22</v>
      </c>
      <c r="N74" s="4">
        <v>141</v>
      </c>
      <c r="O74" s="4">
        <v>47</v>
      </c>
      <c r="P74" s="4">
        <v>41</v>
      </c>
    </row>
    <row r="75" spans="1:16" x14ac:dyDescent="0.45">
      <c r="A75" s="54">
        <v>5</v>
      </c>
      <c r="B75" s="2" t="s">
        <v>8</v>
      </c>
      <c r="C75" s="2" t="s">
        <v>49</v>
      </c>
      <c r="D75" s="4">
        <v>67</v>
      </c>
      <c r="E75" s="4">
        <v>15</v>
      </c>
      <c r="F75" s="4">
        <v>23</v>
      </c>
      <c r="G75" s="4">
        <v>40</v>
      </c>
      <c r="H75" s="4">
        <v>30</v>
      </c>
      <c r="I75" s="4">
        <v>36</v>
      </c>
      <c r="J75" s="4">
        <v>27</v>
      </c>
      <c r="K75" s="4">
        <v>51</v>
      </c>
      <c r="L75" s="4">
        <v>358</v>
      </c>
      <c r="M75" s="4">
        <v>36</v>
      </c>
      <c r="N75" s="4">
        <v>189</v>
      </c>
      <c r="O75" s="4">
        <v>109</v>
      </c>
      <c r="P75" s="4">
        <v>83</v>
      </c>
    </row>
    <row r="76" spans="1:16" x14ac:dyDescent="0.45">
      <c r="A76" s="54">
        <v>5</v>
      </c>
      <c r="B76" s="2" t="s">
        <v>8</v>
      </c>
      <c r="C76" s="2" t="s">
        <v>50</v>
      </c>
      <c r="D76" s="4">
        <v>9</v>
      </c>
      <c r="E76" s="4">
        <v>0</v>
      </c>
      <c r="F76" s="4">
        <v>1</v>
      </c>
      <c r="G76" s="4">
        <v>0</v>
      </c>
      <c r="H76" s="4">
        <v>3</v>
      </c>
      <c r="I76" s="4">
        <v>11</v>
      </c>
      <c r="J76" s="4">
        <v>1</v>
      </c>
      <c r="K76" s="4">
        <v>5</v>
      </c>
      <c r="L76" s="4">
        <v>15</v>
      </c>
      <c r="M76" s="4">
        <v>17</v>
      </c>
      <c r="N76" s="4">
        <v>36</v>
      </c>
      <c r="O76" s="4">
        <v>15</v>
      </c>
      <c r="P76" s="4">
        <v>27</v>
      </c>
    </row>
    <row r="77" spans="1:16" x14ac:dyDescent="0.45">
      <c r="A77" s="54">
        <v>6</v>
      </c>
      <c r="B77" s="2" t="s">
        <v>9</v>
      </c>
      <c r="C77" s="2" t="s">
        <v>36</v>
      </c>
      <c r="D77" s="3"/>
      <c r="E77" s="4">
        <v>0</v>
      </c>
      <c r="F77" s="4">
        <v>0</v>
      </c>
      <c r="G77" s="4">
        <v>2</v>
      </c>
      <c r="H77" s="4">
        <v>1</v>
      </c>
      <c r="I77" s="4">
        <v>2</v>
      </c>
      <c r="J77" s="3"/>
      <c r="K77" s="4">
        <v>2</v>
      </c>
      <c r="L77" s="4">
        <v>0</v>
      </c>
      <c r="M77" s="4">
        <v>0</v>
      </c>
      <c r="N77" s="4">
        <v>1</v>
      </c>
      <c r="O77" s="4">
        <v>0</v>
      </c>
      <c r="P77" s="4">
        <v>1</v>
      </c>
    </row>
    <row r="78" spans="1:16" x14ac:dyDescent="0.45">
      <c r="A78" s="54">
        <v>6</v>
      </c>
      <c r="B78" s="2" t="s">
        <v>9</v>
      </c>
      <c r="C78" s="2" t="s">
        <v>37</v>
      </c>
      <c r="D78" s="4">
        <v>4</v>
      </c>
      <c r="E78" s="4">
        <v>22</v>
      </c>
      <c r="F78" s="4">
        <v>4</v>
      </c>
      <c r="G78" s="4">
        <v>21</v>
      </c>
      <c r="H78" s="4">
        <v>2</v>
      </c>
      <c r="I78" s="4">
        <v>3</v>
      </c>
      <c r="J78" s="4">
        <v>8</v>
      </c>
      <c r="K78" s="4">
        <v>2</v>
      </c>
      <c r="L78" s="4">
        <v>19</v>
      </c>
      <c r="M78" s="4">
        <v>0</v>
      </c>
      <c r="N78" s="4">
        <v>9</v>
      </c>
      <c r="O78" s="4">
        <v>14</v>
      </c>
      <c r="P78" s="4">
        <v>2</v>
      </c>
    </row>
    <row r="79" spans="1:16" x14ac:dyDescent="0.45">
      <c r="A79" s="54">
        <v>6</v>
      </c>
      <c r="B79" s="2" t="s">
        <v>9</v>
      </c>
      <c r="C79" s="2" t="s">
        <v>38</v>
      </c>
      <c r="D79" s="4">
        <v>34</v>
      </c>
      <c r="E79" s="4">
        <v>13</v>
      </c>
      <c r="F79" s="4">
        <v>75</v>
      </c>
      <c r="G79" s="4">
        <v>6</v>
      </c>
      <c r="H79" s="4">
        <v>11</v>
      </c>
      <c r="I79" s="4">
        <v>3</v>
      </c>
      <c r="J79" s="4">
        <v>9</v>
      </c>
      <c r="K79" s="4">
        <v>4</v>
      </c>
      <c r="L79" s="4">
        <v>37</v>
      </c>
      <c r="M79" s="4">
        <v>14</v>
      </c>
      <c r="N79" s="4">
        <v>33</v>
      </c>
      <c r="O79" s="4">
        <v>18</v>
      </c>
      <c r="P79" s="4">
        <v>6</v>
      </c>
    </row>
    <row r="80" spans="1:16" x14ac:dyDescent="0.45">
      <c r="A80" s="54">
        <v>6</v>
      </c>
      <c r="B80" s="2" t="s">
        <v>9</v>
      </c>
      <c r="C80" s="2" t="s">
        <v>39</v>
      </c>
      <c r="D80" s="4">
        <v>-849</v>
      </c>
      <c r="E80" s="4">
        <v>1021</v>
      </c>
      <c r="F80" s="4">
        <v>43</v>
      </c>
      <c r="G80" s="4">
        <v>66</v>
      </c>
      <c r="H80" s="4">
        <v>46</v>
      </c>
      <c r="I80" s="4">
        <v>1473</v>
      </c>
      <c r="J80" s="4">
        <v>148</v>
      </c>
      <c r="K80" s="4">
        <v>42</v>
      </c>
      <c r="L80" s="4">
        <v>8</v>
      </c>
      <c r="M80" s="4">
        <v>34</v>
      </c>
      <c r="N80" s="4">
        <v>33</v>
      </c>
      <c r="O80" s="4">
        <v>62</v>
      </c>
      <c r="P80" s="4">
        <v>51</v>
      </c>
    </row>
    <row r="81" spans="1:16" x14ac:dyDescent="0.45">
      <c r="A81" s="54">
        <v>6</v>
      </c>
      <c r="B81" s="2" t="s">
        <v>9</v>
      </c>
      <c r="C81" s="2" t="s">
        <v>40</v>
      </c>
      <c r="D81" s="3"/>
      <c r="E81" s="3"/>
      <c r="F81" s="4">
        <v>0</v>
      </c>
      <c r="G81" s="3"/>
      <c r="H81" s="3"/>
      <c r="I81" s="4">
        <v>2</v>
      </c>
      <c r="J81" s="4">
        <v>0</v>
      </c>
      <c r="K81" s="3"/>
      <c r="L81" s="4">
        <v>0</v>
      </c>
      <c r="M81" s="4">
        <v>1</v>
      </c>
      <c r="N81" s="4">
        <v>0</v>
      </c>
      <c r="O81" s="3"/>
      <c r="P81" s="4">
        <v>1</v>
      </c>
    </row>
    <row r="82" spans="1:16" x14ac:dyDescent="0.45">
      <c r="A82" s="54">
        <v>6</v>
      </c>
      <c r="B82" s="2" t="s">
        <v>9</v>
      </c>
      <c r="C82" s="2" t="s">
        <v>41</v>
      </c>
      <c r="D82" s="3"/>
      <c r="E82" s="3"/>
      <c r="F82" s="4">
        <v>0</v>
      </c>
      <c r="G82" s="4">
        <v>0</v>
      </c>
      <c r="H82" s="3"/>
      <c r="I82" s="3"/>
      <c r="J82" s="3"/>
      <c r="K82" s="3"/>
      <c r="L82" s="4">
        <v>2</v>
      </c>
      <c r="M82" s="4">
        <v>0</v>
      </c>
      <c r="N82" s="4">
        <v>1</v>
      </c>
      <c r="O82" s="3"/>
      <c r="P82" s="3"/>
    </row>
    <row r="83" spans="1:16" x14ac:dyDescent="0.45">
      <c r="A83" s="54">
        <v>6</v>
      </c>
      <c r="B83" s="2" t="s">
        <v>9</v>
      </c>
      <c r="C83" s="2" t="s">
        <v>42</v>
      </c>
      <c r="D83" s="4">
        <v>1</v>
      </c>
      <c r="E83" s="4">
        <v>6</v>
      </c>
      <c r="F83" s="4">
        <v>6</v>
      </c>
      <c r="G83" s="4">
        <v>83</v>
      </c>
      <c r="H83" s="4">
        <v>2</v>
      </c>
      <c r="I83" s="4">
        <v>3</v>
      </c>
      <c r="J83" s="4">
        <v>0</v>
      </c>
      <c r="K83" s="4">
        <v>2</v>
      </c>
      <c r="L83" s="4">
        <v>2</v>
      </c>
      <c r="M83" s="4">
        <v>9</v>
      </c>
      <c r="N83" s="4">
        <v>0</v>
      </c>
      <c r="O83" s="4">
        <v>5</v>
      </c>
      <c r="P83" s="4">
        <v>20</v>
      </c>
    </row>
    <row r="84" spans="1:16" x14ac:dyDescent="0.45">
      <c r="A84" s="54">
        <v>6</v>
      </c>
      <c r="B84" s="2" t="s">
        <v>9</v>
      </c>
      <c r="C84" s="2" t="s">
        <v>43</v>
      </c>
      <c r="D84" s="4">
        <v>1298</v>
      </c>
      <c r="E84" s="4">
        <v>400</v>
      </c>
      <c r="F84" s="4">
        <v>51</v>
      </c>
      <c r="G84" s="4">
        <v>34</v>
      </c>
      <c r="H84" s="4">
        <v>131</v>
      </c>
      <c r="I84" s="4">
        <v>50</v>
      </c>
      <c r="J84" s="4">
        <v>105</v>
      </c>
      <c r="K84" s="4">
        <v>201</v>
      </c>
      <c r="L84" s="4">
        <v>7.1054273576010019E-15</v>
      </c>
      <c r="M84" s="4">
        <v>319.99999999999994</v>
      </c>
      <c r="N84" s="4">
        <v>171</v>
      </c>
      <c r="O84" s="4">
        <v>48</v>
      </c>
      <c r="P84" s="4">
        <v>60</v>
      </c>
    </row>
    <row r="85" spans="1:16" x14ac:dyDescent="0.45">
      <c r="A85" s="54">
        <v>6</v>
      </c>
      <c r="B85" s="2" t="s">
        <v>9</v>
      </c>
      <c r="C85" s="2" t="s">
        <v>44</v>
      </c>
      <c r="D85" s="4">
        <v>211</v>
      </c>
      <c r="E85" s="4">
        <v>-595</v>
      </c>
      <c r="F85" s="4">
        <v>17</v>
      </c>
      <c r="G85" s="4">
        <v>110</v>
      </c>
      <c r="H85" s="4">
        <v>135</v>
      </c>
      <c r="I85" s="4">
        <v>10</v>
      </c>
      <c r="J85" s="4">
        <v>8</v>
      </c>
      <c r="K85" s="4">
        <v>0</v>
      </c>
      <c r="L85" s="4">
        <v>7</v>
      </c>
      <c r="M85" s="4">
        <v>2</v>
      </c>
      <c r="N85" s="4">
        <v>30</v>
      </c>
      <c r="O85" s="4">
        <v>29</v>
      </c>
      <c r="P85" s="4">
        <v>13</v>
      </c>
    </row>
    <row r="86" spans="1:16" x14ac:dyDescent="0.45">
      <c r="A86" s="54">
        <v>6</v>
      </c>
      <c r="B86" s="2" t="s">
        <v>9</v>
      </c>
      <c r="C86" s="2" t="s">
        <v>45</v>
      </c>
      <c r="D86" s="4">
        <v>60</v>
      </c>
      <c r="E86" s="4">
        <v>0</v>
      </c>
      <c r="F86" s="4">
        <v>3</v>
      </c>
      <c r="G86" s="4">
        <v>0</v>
      </c>
      <c r="H86" s="4">
        <v>18</v>
      </c>
      <c r="I86" s="4">
        <v>12</v>
      </c>
      <c r="J86" s="4">
        <v>3</v>
      </c>
      <c r="K86" s="3"/>
      <c r="L86" s="4">
        <v>4</v>
      </c>
      <c r="M86" s="4">
        <v>37</v>
      </c>
      <c r="N86" s="4">
        <v>11</v>
      </c>
      <c r="O86" s="4">
        <v>74</v>
      </c>
      <c r="P86" s="4">
        <v>130</v>
      </c>
    </row>
    <row r="87" spans="1:16" x14ac:dyDescent="0.45">
      <c r="A87" s="54">
        <v>6</v>
      </c>
      <c r="B87" s="2" t="s">
        <v>9</v>
      </c>
      <c r="C87" s="2" t="s">
        <v>46</v>
      </c>
      <c r="D87" s="4">
        <v>266</v>
      </c>
      <c r="E87" s="4">
        <v>723</v>
      </c>
      <c r="F87" s="4">
        <v>1271</v>
      </c>
      <c r="G87" s="4">
        <v>283</v>
      </c>
      <c r="H87" s="4">
        <v>-174</v>
      </c>
      <c r="I87" s="4">
        <v>-158</v>
      </c>
      <c r="J87" s="4">
        <v>-66</v>
      </c>
      <c r="K87" s="4">
        <v>382</v>
      </c>
      <c r="L87" s="4">
        <v>381</v>
      </c>
      <c r="M87" s="4">
        <v>305</v>
      </c>
      <c r="N87" s="4">
        <v>170</v>
      </c>
      <c r="O87" s="4">
        <v>290</v>
      </c>
      <c r="P87" s="4">
        <v>335</v>
      </c>
    </row>
    <row r="88" spans="1:16" x14ac:dyDescent="0.45">
      <c r="A88" s="54">
        <v>6</v>
      </c>
      <c r="B88" s="2" t="s">
        <v>9</v>
      </c>
      <c r="C88" s="2" t="s">
        <v>47</v>
      </c>
      <c r="D88" s="4">
        <v>1594</v>
      </c>
      <c r="E88" s="4">
        <v>2</v>
      </c>
      <c r="F88" s="4">
        <v>48</v>
      </c>
      <c r="G88" s="4">
        <v>10</v>
      </c>
      <c r="H88" s="4">
        <v>6</v>
      </c>
      <c r="I88" s="4">
        <v>11</v>
      </c>
      <c r="J88" s="4">
        <v>7</v>
      </c>
      <c r="K88" s="4">
        <v>8</v>
      </c>
      <c r="L88" s="4">
        <v>17</v>
      </c>
      <c r="M88" s="4">
        <v>6</v>
      </c>
      <c r="N88" s="4">
        <v>9</v>
      </c>
      <c r="O88" s="4">
        <v>1</v>
      </c>
      <c r="P88" s="4">
        <v>3</v>
      </c>
    </row>
    <row r="89" spans="1:16" x14ac:dyDescent="0.45">
      <c r="A89" s="54">
        <v>6</v>
      </c>
      <c r="B89" s="2" t="s">
        <v>9</v>
      </c>
      <c r="C89" s="2" t="s">
        <v>48</v>
      </c>
      <c r="D89" s="4">
        <v>1</v>
      </c>
      <c r="E89" s="3"/>
      <c r="F89" s="4">
        <v>0</v>
      </c>
      <c r="G89" s="4">
        <v>3</v>
      </c>
      <c r="H89" s="4">
        <v>2</v>
      </c>
      <c r="I89" s="4">
        <v>0</v>
      </c>
      <c r="J89" s="4">
        <v>4</v>
      </c>
      <c r="K89" s="3"/>
      <c r="L89" s="4">
        <v>4</v>
      </c>
      <c r="M89" s="4">
        <v>15</v>
      </c>
      <c r="N89" s="3"/>
      <c r="O89" s="3"/>
      <c r="P89" s="3"/>
    </row>
    <row r="90" spans="1:16" x14ac:dyDescent="0.45">
      <c r="A90" s="54">
        <v>6</v>
      </c>
      <c r="B90" s="2" t="s">
        <v>9</v>
      </c>
      <c r="C90" s="2" t="s">
        <v>49</v>
      </c>
      <c r="D90" s="4">
        <v>1450</v>
      </c>
      <c r="E90" s="4">
        <v>733</v>
      </c>
      <c r="F90" s="4">
        <v>308</v>
      </c>
      <c r="G90" s="4">
        <v>40</v>
      </c>
      <c r="H90" s="4">
        <v>50</v>
      </c>
      <c r="I90" s="4">
        <v>61</v>
      </c>
      <c r="J90" s="4">
        <v>111</v>
      </c>
      <c r="K90" s="4">
        <v>92</v>
      </c>
      <c r="L90" s="4">
        <v>432</v>
      </c>
      <c r="M90" s="4">
        <v>220</v>
      </c>
      <c r="N90" s="4">
        <v>177</v>
      </c>
      <c r="O90" s="4">
        <v>929</v>
      </c>
      <c r="P90" s="4">
        <v>103</v>
      </c>
    </row>
    <row r="91" spans="1:16" x14ac:dyDescent="0.45">
      <c r="A91" s="54">
        <v>6</v>
      </c>
      <c r="B91" s="2" t="s">
        <v>9</v>
      </c>
      <c r="C91" s="2" t="s">
        <v>50</v>
      </c>
      <c r="D91" s="4">
        <v>-8</v>
      </c>
      <c r="E91" s="4">
        <v>-5</v>
      </c>
      <c r="F91" s="4">
        <v>0</v>
      </c>
      <c r="G91" s="4">
        <v>0</v>
      </c>
      <c r="H91" s="4">
        <v>0</v>
      </c>
      <c r="I91" s="4">
        <v>8</v>
      </c>
      <c r="J91" s="4">
        <v>0</v>
      </c>
      <c r="K91" s="3"/>
      <c r="L91" s="3"/>
      <c r="M91" s="3"/>
      <c r="N91" s="4">
        <v>3</v>
      </c>
      <c r="O91" s="4">
        <v>12</v>
      </c>
      <c r="P91" s="4">
        <v>0</v>
      </c>
    </row>
    <row r="92" spans="1:16" x14ac:dyDescent="0.45">
      <c r="A92" s="54">
        <v>7</v>
      </c>
      <c r="B92" s="2" t="s">
        <v>166</v>
      </c>
      <c r="C92" s="2" t="s">
        <v>36</v>
      </c>
      <c r="D92" s="3"/>
      <c r="E92" s="4">
        <v>160</v>
      </c>
      <c r="F92" s="4">
        <v>2</v>
      </c>
      <c r="G92" s="4">
        <v>4</v>
      </c>
      <c r="H92" s="3"/>
      <c r="I92" s="4">
        <v>23</v>
      </c>
      <c r="J92" s="4">
        <v>10</v>
      </c>
      <c r="K92" s="4">
        <v>11</v>
      </c>
      <c r="L92" s="4">
        <v>61</v>
      </c>
      <c r="M92" s="4">
        <v>7</v>
      </c>
      <c r="N92" s="3"/>
      <c r="O92" s="4">
        <v>45</v>
      </c>
      <c r="P92" s="4">
        <v>10</v>
      </c>
    </row>
    <row r="93" spans="1:16" x14ac:dyDescent="0.45">
      <c r="A93" s="54">
        <v>7</v>
      </c>
      <c r="B93" s="2" t="s">
        <v>166</v>
      </c>
      <c r="C93" s="2" t="s">
        <v>37</v>
      </c>
      <c r="D93" s="4">
        <v>7</v>
      </c>
      <c r="E93" s="4">
        <v>6</v>
      </c>
      <c r="F93" s="4">
        <v>-5</v>
      </c>
      <c r="G93" s="4">
        <v>81</v>
      </c>
      <c r="H93" s="4">
        <v>12</v>
      </c>
      <c r="I93" s="4">
        <v>22</v>
      </c>
      <c r="J93" s="4">
        <v>65</v>
      </c>
      <c r="K93" s="4">
        <v>101</v>
      </c>
      <c r="L93" s="4">
        <v>71</v>
      </c>
      <c r="M93" s="4">
        <v>4</v>
      </c>
      <c r="N93" s="4">
        <v>33</v>
      </c>
      <c r="O93" s="4">
        <v>36</v>
      </c>
      <c r="P93" s="4">
        <v>156</v>
      </c>
    </row>
    <row r="94" spans="1:16" x14ac:dyDescent="0.45">
      <c r="A94" s="54">
        <v>7</v>
      </c>
      <c r="B94" s="2" t="s">
        <v>166</v>
      </c>
      <c r="C94" s="2" t="s">
        <v>38</v>
      </c>
      <c r="D94" s="4">
        <v>1</v>
      </c>
      <c r="E94" s="4">
        <v>13</v>
      </c>
      <c r="F94" s="4">
        <v>34</v>
      </c>
      <c r="G94" s="4">
        <v>30</v>
      </c>
      <c r="H94" s="4">
        <v>109</v>
      </c>
      <c r="I94" s="4">
        <v>49</v>
      </c>
      <c r="J94" s="4">
        <v>90</v>
      </c>
      <c r="K94" s="4">
        <v>12</v>
      </c>
      <c r="L94" s="4">
        <v>80</v>
      </c>
      <c r="M94" s="4">
        <v>21</v>
      </c>
      <c r="N94" s="4">
        <v>50</v>
      </c>
      <c r="O94" s="4">
        <v>97</v>
      </c>
      <c r="P94" s="4">
        <v>277</v>
      </c>
    </row>
    <row r="95" spans="1:16" x14ac:dyDescent="0.45">
      <c r="A95" s="54">
        <v>7</v>
      </c>
      <c r="B95" s="2" t="s">
        <v>166</v>
      </c>
      <c r="C95" s="2" t="s">
        <v>39</v>
      </c>
      <c r="D95" s="4">
        <v>3</v>
      </c>
      <c r="E95" s="4">
        <v>49</v>
      </c>
      <c r="F95" s="4">
        <v>414</v>
      </c>
      <c r="G95" s="4">
        <v>205</v>
      </c>
      <c r="H95" s="4">
        <v>118</v>
      </c>
      <c r="I95" s="4">
        <v>203</v>
      </c>
      <c r="J95" s="4">
        <v>84</v>
      </c>
      <c r="K95" s="4">
        <v>139</v>
      </c>
      <c r="L95" s="4">
        <v>141</v>
      </c>
      <c r="M95" s="4">
        <v>133</v>
      </c>
      <c r="N95" s="4">
        <v>125</v>
      </c>
      <c r="O95" s="4">
        <v>176</v>
      </c>
      <c r="P95" s="4">
        <v>130</v>
      </c>
    </row>
    <row r="96" spans="1:16" x14ac:dyDescent="0.45">
      <c r="A96" s="54">
        <v>7</v>
      </c>
      <c r="B96" s="2" t="s">
        <v>166</v>
      </c>
      <c r="C96" s="2" t="s">
        <v>40</v>
      </c>
      <c r="D96" s="3"/>
      <c r="E96" s="4">
        <v>30</v>
      </c>
      <c r="F96" s="4">
        <v>49</v>
      </c>
      <c r="G96" s="4">
        <v>1</v>
      </c>
      <c r="H96" s="4">
        <v>16</v>
      </c>
      <c r="I96" s="4">
        <v>1</v>
      </c>
      <c r="J96" s="4">
        <v>3</v>
      </c>
      <c r="K96" s="4">
        <v>6</v>
      </c>
      <c r="L96" s="4">
        <v>0</v>
      </c>
      <c r="M96" s="4">
        <v>9</v>
      </c>
      <c r="N96" s="4">
        <v>13</v>
      </c>
      <c r="O96" s="4">
        <v>9</v>
      </c>
      <c r="P96" s="4">
        <v>4</v>
      </c>
    </row>
    <row r="97" spans="1:16" x14ac:dyDescent="0.45">
      <c r="A97" s="54">
        <v>7</v>
      </c>
      <c r="B97" s="2" t="s">
        <v>166</v>
      </c>
      <c r="C97" s="2" t="s">
        <v>41</v>
      </c>
      <c r="D97" s="3"/>
      <c r="E97" s="4">
        <v>59</v>
      </c>
      <c r="F97" s="4">
        <v>2</v>
      </c>
      <c r="G97" s="4">
        <v>0</v>
      </c>
      <c r="H97" s="4">
        <v>0</v>
      </c>
      <c r="I97" s="3"/>
      <c r="J97" s="4">
        <v>10</v>
      </c>
      <c r="K97" s="3"/>
      <c r="L97" s="3"/>
      <c r="M97" s="4">
        <v>15</v>
      </c>
      <c r="N97" s="3"/>
      <c r="O97" s="3"/>
      <c r="P97" s="3"/>
    </row>
    <row r="98" spans="1:16" x14ac:dyDescent="0.45">
      <c r="A98" s="54">
        <v>7</v>
      </c>
      <c r="B98" s="2" t="s">
        <v>166</v>
      </c>
      <c r="C98" s="2" t="s">
        <v>42</v>
      </c>
      <c r="D98" s="3"/>
      <c r="E98" s="3"/>
      <c r="F98" s="4">
        <v>18</v>
      </c>
      <c r="G98" s="4">
        <v>10</v>
      </c>
      <c r="H98" s="4">
        <v>83</v>
      </c>
      <c r="I98" s="4">
        <v>33</v>
      </c>
      <c r="J98" s="4">
        <v>9</v>
      </c>
      <c r="K98" s="4">
        <v>98</v>
      </c>
      <c r="L98" s="4">
        <v>52</v>
      </c>
      <c r="M98" s="4">
        <v>78</v>
      </c>
      <c r="N98" s="4">
        <v>267</v>
      </c>
      <c r="O98" s="4">
        <v>208</v>
      </c>
      <c r="P98" s="4">
        <v>144</v>
      </c>
    </row>
    <row r="99" spans="1:16" x14ac:dyDescent="0.45">
      <c r="A99" s="54">
        <v>7</v>
      </c>
      <c r="B99" s="2" t="s">
        <v>166</v>
      </c>
      <c r="C99" s="2" t="s">
        <v>43</v>
      </c>
      <c r="D99" s="4">
        <v>2</v>
      </c>
      <c r="E99" s="4">
        <v>1</v>
      </c>
      <c r="F99" s="4">
        <v>26</v>
      </c>
      <c r="G99" s="4">
        <v>5</v>
      </c>
      <c r="H99" s="4">
        <v>0</v>
      </c>
      <c r="I99" s="4">
        <v>4</v>
      </c>
      <c r="J99" s="3"/>
      <c r="K99" s="3"/>
      <c r="L99" s="3"/>
      <c r="M99" s="4">
        <v>35</v>
      </c>
      <c r="N99" s="4">
        <v>3</v>
      </c>
      <c r="O99" s="3"/>
      <c r="P99" s="4">
        <v>4</v>
      </c>
    </row>
    <row r="100" spans="1:16" x14ac:dyDescent="0.45">
      <c r="A100" s="54">
        <v>7</v>
      </c>
      <c r="B100" s="2" t="s">
        <v>166</v>
      </c>
      <c r="C100" s="2" t="s">
        <v>44</v>
      </c>
      <c r="D100" s="3"/>
      <c r="E100" s="4">
        <v>85</v>
      </c>
      <c r="F100" s="4">
        <v>13</v>
      </c>
      <c r="G100" s="4">
        <v>0</v>
      </c>
      <c r="H100" s="4">
        <v>14</v>
      </c>
      <c r="I100" s="4">
        <v>34</v>
      </c>
      <c r="J100" s="4">
        <v>81</v>
      </c>
      <c r="K100" s="4">
        <v>20</v>
      </c>
      <c r="L100" s="4">
        <v>6</v>
      </c>
      <c r="M100" s="4">
        <v>3</v>
      </c>
      <c r="N100" s="4">
        <v>35</v>
      </c>
      <c r="O100" s="4">
        <v>13</v>
      </c>
      <c r="P100" s="4">
        <v>36</v>
      </c>
    </row>
    <row r="101" spans="1:16" x14ac:dyDescent="0.45">
      <c r="A101" s="54">
        <v>7</v>
      </c>
      <c r="B101" s="2" t="s">
        <v>166</v>
      </c>
      <c r="C101" s="2" t="s">
        <v>45</v>
      </c>
      <c r="D101" s="3"/>
      <c r="E101" s="3"/>
      <c r="F101" s="4">
        <v>31</v>
      </c>
      <c r="G101" s="4">
        <v>10</v>
      </c>
      <c r="H101" s="4">
        <v>0</v>
      </c>
      <c r="I101" s="3"/>
      <c r="J101" s="3"/>
      <c r="K101" s="3"/>
      <c r="L101" s="3"/>
      <c r="M101" s="4">
        <v>72</v>
      </c>
      <c r="N101" s="4">
        <v>4</v>
      </c>
      <c r="O101" s="4">
        <v>0</v>
      </c>
      <c r="P101" s="4">
        <v>3</v>
      </c>
    </row>
    <row r="102" spans="1:16" x14ac:dyDescent="0.45">
      <c r="A102" s="54">
        <v>7</v>
      </c>
      <c r="B102" s="2" t="s">
        <v>166</v>
      </c>
      <c r="C102" s="2" t="s">
        <v>46</v>
      </c>
      <c r="D102" s="4">
        <v>199</v>
      </c>
      <c r="E102" s="3"/>
      <c r="F102" s="4">
        <v>0</v>
      </c>
      <c r="G102" s="3"/>
      <c r="H102" s="3"/>
      <c r="I102" s="3"/>
      <c r="J102" s="4">
        <v>1</v>
      </c>
      <c r="K102" s="4">
        <v>0</v>
      </c>
      <c r="L102" s="3"/>
      <c r="M102" s="3"/>
      <c r="N102" s="3"/>
      <c r="O102" s="3"/>
      <c r="P102" s="3"/>
    </row>
    <row r="103" spans="1:16" x14ac:dyDescent="0.45">
      <c r="A103" s="54">
        <v>7</v>
      </c>
      <c r="B103" s="2" t="s">
        <v>166</v>
      </c>
      <c r="C103" s="2" t="s">
        <v>47</v>
      </c>
      <c r="D103" s="4">
        <v>1</v>
      </c>
      <c r="E103" s="4">
        <v>2</v>
      </c>
      <c r="F103" s="4">
        <v>2</v>
      </c>
      <c r="G103" s="4">
        <v>0</v>
      </c>
      <c r="H103" s="4">
        <v>2</v>
      </c>
      <c r="I103" s="4">
        <v>26</v>
      </c>
      <c r="J103" s="4">
        <v>-2</v>
      </c>
      <c r="K103" s="4">
        <v>2</v>
      </c>
      <c r="L103" s="4">
        <v>0</v>
      </c>
      <c r="M103" s="4">
        <v>2</v>
      </c>
      <c r="N103" s="4">
        <v>1</v>
      </c>
      <c r="O103" s="4">
        <v>14</v>
      </c>
      <c r="P103" s="4">
        <v>8</v>
      </c>
    </row>
    <row r="104" spans="1:16" x14ac:dyDescent="0.45">
      <c r="A104" s="54">
        <v>7</v>
      </c>
      <c r="B104" s="2" t="s">
        <v>166</v>
      </c>
      <c r="C104" s="2" t="s">
        <v>48</v>
      </c>
      <c r="D104" s="3"/>
      <c r="E104" s="3"/>
      <c r="F104" s="3"/>
      <c r="G104" s="4">
        <v>2</v>
      </c>
      <c r="H104" s="3"/>
      <c r="I104" s="4">
        <v>99</v>
      </c>
      <c r="J104" s="4">
        <v>0</v>
      </c>
      <c r="K104" s="3"/>
      <c r="L104" s="4">
        <v>16</v>
      </c>
      <c r="M104" s="4">
        <v>17</v>
      </c>
      <c r="N104" s="4">
        <v>79</v>
      </c>
      <c r="O104" s="4">
        <v>5</v>
      </c>
      <c r="P104" s="3"/>
    </row>
    <row r="105" spans="1:16" x14ac:dyDescent="0.45">
      <c r="A105" s="54">
        <v>7</v>
      </c>
      <c r="B105" s="2" t="s">
        <v>166</v>
      </c>
      <c r="C105" s="2" t="s">
        <v>49</v>
      </c>
      <c r="D105" s="4">
        <v>14</v>
      </c>
      <c r="E105" s="4">
        <v>34</v>
      </c>
      <c r="F105" s="4">
        <v>20</v>
      </c>
      <c r="G105" s="4">
        <v>10</v>
      </c>
      <c r="H105" s="4">
        <v>2</v>
      </c>
      <c r="I105" s="4">
        <v>58</v>
      </c>
      <c r="J105" s="4">
        <v>19</v>
      </c>
      <c r="K105" s="4">
        <v>143</v>
      </c>
      <c r="L105" s="4">
        <v>49</v>
      </c>
      <c r="M105" s="4">
        <v>87</v>
      </c>
      <c r="N105" s="4">
        <v>71</v>
      </c>
      <c r="O105" s="4">
        <v>174</v>
      </c>
      <c r="P105" s="4">
        <v>30</v>
      </c>
    </row>
    <row r="106" spans="1:16" x14ac:dyDescent="0.45">
      <c r="A106" s="54">
        <v>7</v>
      </c>
      <c r="B106" s="2" t="s">
        <v>166</v>
      </c>
      <c r="C106" s="2" t="s">
        <v>50</v>
      </c>
      <c r="D106" s="3"/>
      <c r="E106" s="4">
        <v>2</v>
      </c>
      <c r="F106" s="3"/>
      <c r="G106" s="4">
        <v>26</v>
      </c>
      <c r="H106" s="4">
        <v>1</v>
      </c>
      <c r="I106" s="3"/>
      <c r="J106" s="4">
        <v>1</v>
      </c>
      <c r="K106" s="4">
        <v>0</v>
      </c>
      <c r="L106" s="4">
        <v>30</v>
      </c>
      <c r="M106" s="3"/>
      <c r="N106" s="3"/>
      <c r="O106" s="4">
        <v>6</v>
      </c>
      <c r="P106" s="3"/>
    </row>
    <row r="107" spans="1:16" x14ac:dyDescent="0.45">
      <c r="A107" s="54">
        <v>8</v>
      </c>
      <c r="B107" s="2" t="s">
        <v>168</v>
      </c>
      <c r="C107" s="2" t="s">
        <v>36</v>
      </c>
      <c r="D107" s="4">
        <v>1682</v>
      </c>
      <c r="E107" s="4">
        <v>520</v>
      </c>
      <c r="F107" s="4">
        <v>1222</v>
      </c>
      <c r="G107" s="4">
        <v>1366</v>
      </c>
      <c r="H107" s="4">
        <v>246</v>
      </c>
      <c r="I107" s="4">
        <v>334</v>
      </c>
      <c r="J107" s="4">
        <v>246</v>
      </c>
      <c r="K107" s="4">
        <v>184</v>
      </c>
      <c r="L107" s="4">
        <v>162</v>
      </c>
      <c r="M107" s="4">
        <v>107</v>
      </c>
      <c r="N107" s="4">
        <v>268</v>
      </c>
      <c r="O107" s="4">
        <v>35</v>
      </c>
      <c r="P107" s="4">
        <v>83</v>
      </c>
    </row>
    <row r="108" spans="1:16" x14ac:dyDescent="0.45">
      <c r="A108" s="54">
        <v>8</v>
      </c>
      <c r="B108" s="2" t="s">
        <v>168</v>
      </c>
      <c r="C108" s="2" t="s">
        <v>37</v>
      </c>
      <c r="D108" s="4">
        <v>237</v>
      </c>
      <c r="E108" s="4">
        <v>523</v>
      </c>
      <c r="F108" s="4">
        <v>556</v>
      </c>
      <c r="G108" s="4">
        <v>280</v>
      </c>
      <c r="H108" s="4">
        <v>615</v>
      </c>
      <c r="I108" s="4">
        <v>290</v>
      </c>
      <c r="J108" s="4">
        <v>155</v>
      </c>
      <c r="K108" s="4">
        <v>293</v>
      </c>
      <c r="L108" s="4">
        <v>250</v>
      </c>
      <c r="M108" s="4">
        <v>373</v>
      </c>
      <c r="N108" s="4">
        <v>174</v>
      </c>
      <c r="O108" s="4">
        <v>82</v>
      </c>
      <c r="P108" s="4">
        <v>330</v>
      </c>
    </row>
    <row r="109" spans="1:16" x14ac:dyDescent="0.45">
      <c r="A109" s="54">
        <v>8</v>
      </c>
      <c r="B109" s="2" t="s">
        <v>168</v>
      </c>
      <c r="C109" s="2" t="s">
        <v>38</v>
      </c>
      <c r="D109" s="4">
        <v>1354</v>
      </c>
      <c r="E109" s="4">
        <v>45574</v>
      </c>
      <c r="F109" s="4">
        <v>13000</v>
      </c>
      <c r="G109" s="4">
        <v>5599</v>
      </c>
      <c r="H109" s="4">
        <v>2423</v>
      </c>
      <c r="I109" s="4">
        <v>2499</v>
      </c>
      <c r="J109" s="4">
        <v>3565</v>
      </c>
      <c r="K109" s="4">
        <v>2612</v>
      </c>
      <c r="L109" s="4">
        <v>7859</v>
      </c>
      <c r="M109" s="4">
        <v>1207</v>
      </c>
      <c r="N109" s="4">
        <v>1853</v>
      </c>
      <c r="O109" s="4">
        <v>1223</v>
      </c>
      <c r="P109" s="4">
        <v>593</v>
      </c>
    </row>
    <row r="110" spans="1:16" x14ac:dyDescent="0.45">
      <c r="A110" s="54">
        <v>8</v>
      </c>
      <c r="B110" s="2" t="s">
        <v>168</v>
      </c>
      <c r="C110" s="2" t="s">
        <v>39</v>
      </c>
      <c r="D110" s="4">
        <v>2785</v>
      </c>
      <c r="E110" s="4">
        <v>1982</v>
      </c>
      <c r="F110" s="4">
        <v>2241</v>
      </c>
      <c r="G110" s="4">
        <v>8186</v>
      </c>
      <c r="H110" s="4">
        <v>6822</v>
      </c>
      <c r="I110" s="4">
        <v>3038</v>
      </c>
      <c r="J110" s="4">
        <v>1300</v>
      </c>
      <c r="K110" s="4">
        <v>1412</v>
      </c>
      <c r="L110" s="4">
        <v>1618</v>
      </c>
      <c r="M110" s="4">
        <v>1218</v>
      </c>
      <c r="N110" s="4">
        <v>946</v>
      </c>
      <c r="O110" s="4">
        <v>1663</v>
      </c>
      <c r="P110" s="4">
        <v>966</v>
      </c>
    </row>
    <row r="111" spans="1:16" x14ac:dyDescent="0.45">
      <c r="A111" s="54">
        <v>8</v>
      </c>
      <c r="B111" s="2" t="s">
        <v>168</v>
      </c>
      <c r="C111" s="2" t="s">
        <v>40</v>
      </c>
      <c r="D111" s="4">
        <v>73</v>
      </c>
      <c r="E111" s="4">
        <v>68</v>
      </c>
      <c r="F111" s="4">
        <v>37</v>
      </c>
      <c r="G111" s="4">
        <v>268</v>
      </c>
      <c r="H111" s="4">
        <v>155</v>
      </c>
      <c r="I111" s="4">
        <v>211</v>
      </c>
      <c r="J111" s="4">
        <v>179</v>
      </c>
      <c r="K111" s="4">
        <v>380</v>
      </c>
      <c r="L111" s="4">
        <v>278</v>
      </c>
      <c r="M111" s="4">
        <v>90</v>
      </c>
      <c r="N111" s="4">
        <v>241</v>
      </c>
      <c r="O111" s="4">
        <v>213</v>
      </c>
      <c r="P111" s="4">
        <v>54</v>
      </c>
    </row>
    <row r="112" spans="1:16" x14ac:dyDescent="0.45">
      <c r="A112" s="54">
        <v>8</v>
      </c>
      <c r="B112" s="2" t="s">
        <v>168</v>
      </c>
      <c r="C112" s="2" t="s">
        <v>41</v>
      </c>
      <c r="D112" s="4">
        <v>0</v>
      </c>
      <c r="E112" s="4">
        <v>22</v>
      </c>
      <c r="F112" s="4">
        <v>0</v>
      </c>
      <c r="G112" s="4">
        <v>2</v>
      </c>
      <c r="H112" s="4">
        <v>0</v>
      </c>
      <c r="I112" s="4">
        <v>0</v>
      </c>
      <c r="J112" s="4">
        <v>0</v>
      </c>
      <c r="K112" s="4">
        <v>0</v>
      </c>
      <c r="L112" s="4">
        <v>13</v>
      </c>
      <c r="M112" s="4">
        <v>0</v>
      </c>
      <c r="N112" s="3"/>
      <c r="O112" s="4">
        <v>1</v>
      </c>
      <c r="P112" s="4">
        <v>0</v>
      </c>
    </row>
    <row r="113" spans="1:16" x14ac:dyDescent="0.45">
      <c r="A113" s="54">
        <v>8</v>
      </c>
      <c r="B113" s="2" t="s">
        <v>168</v>
      </c>
      <c r="C113" s="2" t="s">
        <v>42</v>
      </c>
      <c r="D113" s="4">
        <v>713</v>
      </c>
      <c r="E113" s="4">
        <v>215</v>
      </c>
      <c r="F113" s="4">
        <v>31</v>
      </c>
      <c r="G113" s="4">
        <v>35</v>
      </c>
      <c r="H113" s="4">
        <v>38</v>
      </c>
      <c r="I113" s="4">
        <v>213</v>
      </c>
      <c r="J113" s="4">
        <v>292</v>
      </c>
      <c r="K113" s="4">
        <v>169</v>
      </c>
      <c r="L113" s="4">
        <v>120</v>
      </c>
      <c r="M113" s="4">
        <v>102</v>
      </c>
      <c r="N113" s="4">
        <v>40</v>
      </c>
      <c r="O113" s="4">
        <v>215</v>
      </c>
      <c r="P113" s="4">
        <v>51</v>
      </c>
    </row>
    <row r="114" spans="1:16" x14ac:dyDescent="0.45">
      <c r="A114" s="54">
        <v>8</v>
      </c>
      <c r="B114" s="2" t="s">
        <v>168</v>
      </c>
      <c r="C114" s="2" t="s">
        <v>43</v>
      </c>
      <c r="D114" s="4">
        <v>12</v>
      </c>
      <c r="E114" s="4">
        <v>4</v>
      </c>
      <c r="F114" s="4">
        <v>30</v>
      </c>
      <c r="G114" s="4">
        <v>25</v>
      </c>
      <c r="H114" s="4">
        <v>0</v>
      </c>
      <c r="I114" s="4">
        <v>353</v>
      </c>
      <c r="J114" s="4">
        <v>0</v>
      </c>
      <c r="K114" s="4">
        <v>41</v>
      </c>
      <c r="L114" s="4">
        <v>58</v>
      </c>
      <c r="M114" s="4">
        <v>5</v>
      </c>
      <c r="N114" s="4">
        <v>0</v>
      </c>
      <c r="O114" s="4">
        <v>1</v>
      </c>
      <c r="P114" s="3"/>
    </row>
    <row r="115" spans="1:16" x14ac:dyDescent="0.45">
      <c r="A115" s="54">
        <v>8</v>
      </c>
      <c r="B115" s="2" t="s">
        <v>168</v>
      </c>
      <c r="C115" s="2" t="s">
        <v>44</v>
      </c>
      <c r="D115" s="4">
        <v>1016</v>
      </c>
      <c r="E115" s="4">
        <v>2209</v>
      </c>
      <c r="F115" s="4">
        <v>374</v>
      </c>
      <c r="G115" s="4">
        <v>467</v>
      </c>
      <c r="H115" s="4">
        <v>412</v>
      </c>
      <c r="I115" s="4">
        <v>884</v>
      </c>
      <c r="J115" s="4">
        <v>1065</v>
      </c>
      <c r="K115" s="4">
        <v>2539</v>
      </c>
      <c r="L115" s="4">
        <v>1440</v>
      </c>
      <c r="M115" s="4">
        <v>183</v>
      </c>
      <c r="N115" s="4">
        <v>1947</v>
      </c>
      <c r="O115" s="4">
        <v>349</v>
      </c>
      <c r="P115" s="4">
        <v>1804</v>
      </c>
    </row>
    <row r="116" spans="1:16" x14ac:dyDescent="0.45">
      <c r="A116" s="54">
        <v>8</v>
      </c>
      <c r="B116" s="2" t="s">
        <v>168</v>
      </c>
      <c r="C116" s="2" t="s">
        <v>45</v>
      </c>
      <c r="D116" s="4">
        <v>163</v>
      </c>
      <c r="E116" s="4">
        <v>162</v>
      </c>
      <c r="F116" s="4">
        <v>142</v>
      </c>
      <c r="G116" s="4">
        <v>31</v>
      </c>
      <c r="H116" s="4">
        <v>146</v>
      </c>
      <c r="I116" s="4">
        <v>66</v>
      </c>
      <c r="J116" s="4">
        <v>76</v>
      </c>
      <c r="K116" s="4">
        <v>121</v>
      </c>
      <c r="L116" s="4">
        <v>109</v>
      </c>
      <c r="M116" s="4">
        <v>224</v>
      </c>
      <c r="N116" s="4">
        <v>56</v>
      </c>
      <c r="O116" s="4">
        <v>89</v>
      </c>
      <c r="P116" s="4">
        <v>150</v>
      </c>
    </row>
    <row r="117" spans="1:16" x14ac:dyDescent="0.45">
      <c r="A117" s="54">
        <v>8</v>
      </c>
      <c r="B117" s="2" t="s">
        <v>168</v>
      </c>
      <c r="C117" s="2" t="s">
        <v>46</v>
      </c>
      <c r="D117" s="4">
        <v>101</v>
      </c>
      <c r="E117" s="4">
        <v>3</v>
      </c>
      <c r="F117" s="4">
        <v>5</v>
      </c>
      <c r="G117" s="4">
        <v>1</v>
      </c>
      <c r="H117" s="4">
        <v>12</v>
      </c>
      <c r="I117" s="4">
        <v>64</v>
      </c>
      <c r="J117" s="4">
        <v>36</v>
      </c>
      <c r="K117" s="4">
        <v>8</v>
      </c>
      <c r="L117" s="4">
        <v>37</v>
      </c>
      <c r="M117" s="4">
        <v>-19</v>
      </c>
      <c r="N117" s="4">
        <v>4</v>
      </c>
      <c r="O117" s="4">
        <v>1</v>
      </c>
      <c r="P117" s="3"/>
    </row>
    <row r="118" spans="1:16" x14ac:dyDescent="0.45">
      <c r="A118" s="54">
        <v>8</v>
      </c>
      <c r="B118" s="2" t="s">
        <v>168</v>
      </c>
      <c r="C118" s="2" t="s">
        <v>47</v>
      </c>
      <c r="D118" s="4">
        <v>58</v>
      </c>
      <c r="E118" s="4">
        <v>70</v>
      </c>
      <c r="F118" s="4">
        <v>62</v>
      </c>
      <c r="G118" s="4">
        <v>84</v>
      </c>
      <c r="H118" s="4">
        <v>24</v>
      </c>
      <c r="I118" s="4">
        <v>96</v>
      </c>
      <c r="J118" s="4">
        <v>8</v>
      </c>
      <c r="K118" s="4">
        <v>36</v>
      </c>
      <c r="L118" s="4">
        <v>39</v>
      </c>
      <c r="M118" s="4">
        <v>102</v>
      </c>
      <c r="N118" s="4">
        <v>155</v>
      </c>
      <c r="O118" s="4">
        <v>375</v>
      </c>
      <c r="P118" s="4">
        <v>1</v>
      </c>
    </row>
    <row r="119" spans="1:16" x14ac:dyDescent="0.45">
      <c r="A119" s="54">
        <v>8</v>
      </c>
      <c r="B119" s="2" t="s">
        <v>168</v>
      </c>
      <c r="C119" s="2" t="s">
        <v>48</v>
      </c>
      <c r="D119" s="4">
        <v>7</v>
      </c>
      <c r="E119" s="4">
        <v>76</v>
      </c>
      <c r="F119" s="4">
        <v>2</v>
      </c>
      <c r="G119" s="4">
        <v>200</v>
      </c>
      <c r="H119" s="4">
        <v>3</v>
      </c>
      <c r="I119" s="4">
        <v>11</v>
      </c>
      <c r="J119" s="4">
        <v>105</v>
      </c>
      <c r="K119" s="4">
        <v>80</v>
      </c>
      <c r="L119" s="4">
        <v>1</v>
      </c>
      <c r="M119" s="4">
        <v>69</v>
      </c>
      <c r="N119" s="4">
        <v>102</v>
      </c>
      <c r="O119" s="4">
        <v>50</v>
      </c>
      <c r="P119" s="4">
        <v>0</v>
      </c>
    </row>
    <row r="120" spans="1:16" x14ac:dyDescent="0.45">
      <c r="A120" s="54">
        <v>8</v>
      </c>
      <c r="B120" s="2" t="s">
        <v>168</v>
      </c>
      <c r="C120" s="2" t="s">
        <v>49</v>
      </c>
      <c r="D120" s="4">
        <v>3320</v>
      </c>
      <c r="E120" s="4">
        <v>596</v>
      </c>
      <c r="F120" s="4">
        <v>1611</v>
      </c>
      <c r="G120" s="4">
        <v>2794</v>
      </c>
      <c r="H120" s="4">
        <v>3780</v>
      </c>
      <c r="I120" s="4">
        <v>4696</v>
      </c>
      <c r="J120" s="4">
        <v>1731</v>
      </c>
      <c r="K120" s="4">
        <v>3760</v>
      </c>
      <c r="L120" s="4">
        <v>6127</v>
      </c>
      <c r="M120" s="4">
        <v>1317</v>
      </c>
      <c r="N120" s="4">
        <v>1984</v>
      </c>
      <c r="O120" s="4">
        <v>1945</v>
      </c>
      <c r="P120" s="4">
        <v>2085</v>
      </c>
    </row>
    <row r="121" spans="1:16" x14ac:dyDescent="0.45">
      <c r="A121" s="54">
        <v>8</v>
      </c>
      <c r="B121" s="2" t="s">
        <v>168</v>
      </c>
      <c r="C121" s="2" t="s">
        <v>50</v>
      </c>
      <c r="D121" s="4">
        <v>-21</v>
      </c>
      <c r="E121" s="4">
        <v>34</v>
      </c>
      <c r="F121" s="4">
        <v>64</v>
      </c>
      <c r="G121" s="4">
        <v>84</v>
      </c>
      <c r="H121" s="4">
        <v>64</v>
      </c>
      <c r="I121" s="4">
        <v>112</v>
      </c>
      <c r="J121" s="4">
        <v>99</v>
      </c>
      <c r="K121" s="4">
        <v>209</v>
      </c>
      <c r="L121" s="4">
        <v>126</v>
      </c>
      <c r="M121" s="4">
        <v>66</v>
      </c>
      <c r="N121" s="4">
        <v>102</v>
      </c>
      <c r="O121" s="4">
        <v>32</v>
      </c>
      <c r="P121" s="4">
        <v>42</v>
      </c>
    </row>
    <row r="122" spans="1:16" x14ac:dyDescent="0.45">
      <c r="A122" s="54">
        <v>9</v>
      </c>
      <c r="B122" s="2" t="s">
        <v>191</v>
      </c>
      <c r="C122" s="2" t="s">
        <v>36</v>
      </c>
      <c r="D122" s="4">
        <v>291</v>
      </c>
      <c r="E122" s="4">
        <v>119</v>
      </c>
      <c r="F122" s="4">
        <v>1159</v>
      </c>
      <c r="G122" s="4">
        <v>348</v>
      </c>
      <c r="H122" s="4">
        <v>1375</v>
      </c>
      <c r="I122" s="4">
        <v>7</v>
      </c>
      <c r="J122" s="4">
        <v>125</v>
      </c>
      <c r="K122" s="4">
        <v>328</v>
      </c>
      <c r="L122" s="4">
        <v>100</v>
      </c>
      <c r="M122" s="4">
        <v>12</v>
      </c>
      <c r="N122" s="4">
        <v>16</v>
      </c>
      <c r="O122" s="4">
        <v>39</v>
      </c>
      <c r="P122" s="4">
        <v>26</v>
      </c>
    </row>
    <row r="123" spans="1:16" x14ac:dyDescent="0.45">
      <c r="A123" s="54">
        <v>9</v>
      </c>
      <c r="B123" s="2" t="s">
        <v>191</v>
      </c>
      <c r="C123" s="2" t="s">
        <v>37</v>
      </c>
      <c r="D123" s="4">
        <v>0</v>
      </c>
      <c r="E123" s="4">
        <v>2</v>
      </c>
      <c r="F123" s="4">
        <v>9</v>
      </c>
      <c r="G123" s="4">
        <v>25</v>
      </c>
      <c r="H123" s="4">
        <v>0</v>
      </c>
      <c r="I123" s="4">
        <v>0</v>
      </c>
      <c r="J123" s="4">
        <v>37</v>
      </c>
      <c r="K123" s="4">
        <v>4</v>
      </c>
      <c r="L123" s="4">
        <v>0</v>
      </c>
      <c r="M123" s="4">
        <v>0</v>
      </c>
      <c r="N123" s="4">
        <v>233</v>
      </c>
      <c r="O123" s="4">
        <v>5</v>
      </c>
      <c r="P123" s="4">
        <v>0</v>
      </c>
    </row>
    <row r="124" spans="1:16" x14ac:dyDescent="0.45">
      <c r="A124" s="54">
        <v>9</v>
      </c>
      <c r="B124" s="2" t="s">
        <v>191</v>
      </c>
      <c r="C124" s="2" t="s">
        <v>38</v>
      </c>
      <c r="D124" s="4">
        <v>58</v>
      </c>
      <c r="E124" s="4">
        <v>723</v>
      </c>
      <c r="F124" s="4">
        <v>3105</v>
      </c>
      <c r="G124" s="4">
        <v>1032</v>
      </c>
      <c r="H124" s="4">
        <v>567</v>
      </c>
      <c r="I124" s="4">
        <v>78</v>
      </c>
      <c r="J124" s="4">
        <v>320</v>
      </c>
      <c r="K124" s="4">
        <v>229</v>
      </c>
      <c r="L124" s="4">
        <v>2547</v>
      </c>
      <c r="M124" s="4">
        <v>740</v>
      </c>
      <c r="N124" s="4">
        <v>19856</v>
      </c>
      <c r="O124" s="4">
        <v>493</v>
      </c>
      <c r="P124" s="4">
        <v>679</v>
      </c>
    </row>
    <row r="125" spans="1:16" x14ac:dyDescent="0.45">
      <c r="A125" s="54">
        <v>9</v>
      </c>
      <c r="B125" s="2" t="s">
        <v>191</v>
      </c>
      <c r="C125" s="2" t="s">
        <v>39</v>
      </c>
      <c r="D125" s="4">
        <v>144</v>
      </c>
      <c r="E125" s="4">
        <v>295</v>
      </c>
      <c r="F125" s="4">
        <v>139</v>
      </c>
      <c r="G125" s="4">
        <v>687</v>
      </c>
      <c r="H125" s="4">
        <v>531</v>
      </c>
      <c r="I125" s="4">
        <v>429</v>
      </c>
      <c r="J125" s="4">
        <v>1178</v>
      </c>
      <c r="K125" s="4">
        <v>1172</v>
      </c>
      <c r="L125" s="4">
        <v>1007</v>
      </c>
      <c r="M125" s="4">
        <v>352</v>
      </c>
      <c r="N125" s="4">
        <v>426</v>
      </c>
      <c r="O125" s="4">
        <v>424</v>
      </c>
      <c r="P125" s="4">
        <v>233</v>
      </c>
    </row>
    <row r="126" spans="1:16" x14ac:dyDescent="0.45">
      <c r="A126" s="54">
        <v>9</v>
      </c>
      <c r="B126" s="2" t="s">
        <v>191</v>
      </c>
      <c r="C126" s="2" t="s">
        <v>40</v>
      </c>
      <c r="D126" s="4">
        <v>251</v>
      </c>
      <c r="E126" s="4">
        <v>79</v>
      </c>
      <c r="F126" s="4">
        <v>17</v>
      </c>
      <c r="G126" s="4">
        <v>20</v>
      </c>
      <c r="H126" s="4">
        <v>1</v>
      </c>
      <c r="I126" s="4">
        <v>56</v>
      </c>
      <c r="J126" s="4">
        <v>320</v>
      </c>
      <c r="K126" s="4">
        <v>264</v>
      </c>
      <c r="L126" s="4">
        <v>3</v>
      </c>
      <c r="M126" s="4">
        <v>0</v>
      </c>
      <c r="N126" s="4">
        <v>1</v>
      </c>
      <c r="O126" s="4">
        <v>5</v>
      </c>
      <c r="P126" s="4">
        <v>16</v>
      </c>
    </row>
    <row r="127" spans="1:16" x14ac:dyDescent="0.45">
      <c r="A127" s="54">
        <v>9</v>
      </c>
      <c r="B127" s="2" t="s">
        <v>191</v>
      </c>
      <c r="C127" s="2" t="s">
        <v>41</v>
      </c>
      <c r="D127" s="4">
        <v>5</v>
      </c>
      <c r="E127" s="4">
        <v>0</v>
      </c>
      <c r="F127" s="4">
        <v>4</v>
      </c>
      <c r="G127" s="4">
        <v>0</v>
      </c>
      <c r="H127" s="4">
        <v>35</v>
      </c>
      <c r="I127" s="4">
        <v>0</v>
      </c>
      <c r="J127" s="4">
        <v>17</v>
      </c>
      <c r="K127" s="4">
        <v>0</v>
      </c>
      <c r="L127" s="3"/>
      <c r="M127" s="3"/>
      <c r="N127" s="3"/>
      <c r="O127" s="4">
        <v>0</v>
      </c>
      <c r="P127" s="3"/>
    </row>
    <row r="128" spans="1:16" x14ac:dyDescent="0.45">
      <c r="A128" s="54">
        <v>9</v>
      </c>
      <c r="B128" s="2" t="s">
        <v>191</v>
      </c>
      <c r="C128" s="2" t="s">
        <v>42</v>
      </c>
      <c r="D128" s="4">
        <v>10</v>
      </c>
      <c r="E128" s="4">
        <v>234</v>
      </c>
      <c r="F128" s="4">
        <v>281</v>
      </c>
      <c r="G128" s="4">
        <v>140</v>
      </c>
      <c r="H128" s="4">
        <v>19</v>
      </c>
      <c r="I128" s="4">
        <v>20</v>
      </c>
      <c r="J128" s="4">
        <v>321</v>
      </c>
      <c r="K128" s="4">
        <v>30</v>
      </c>
      <c r="L128" s="4">
        <v>34</v>
      </c>
      <c r="M128" s="4">
        <v>34</v>
      </c>
      <c r="N128" s="4">
        <v>3</v>
      </c>
      <c r="O128" s="4">
        <v>58</v>
      </c>
      <c r="P128" s="4">
        <v>357</v>
      </c>
    </row>
    <row r="129" spans="1:16" x14ac:dyDescent="0.45">
      <c r="A129" s="54">
        <v>9</v>
      </c>
      <c r="B129" s="2" t="s">
        <v>191</v>
      </c>
      <c r="C129" s="2" t="s">
        <v>43</v>
      </c>
      <c r="D129" s="4">
        <v>92</v>
      </c>
      <c r="E129" s="4">
        <v>270</v>
      </c>
      <c r="F129" s="4">
        <v>326</v>
      </c>
      <c r="G129" s="4">
        <v>1144</v>
      </c>
      <c r="H129" s="4">
        <v>1793</v>
      </c>
      <c r="I129" s="4">
        <v>644</v>
      </c>
      <c r="J129" s="4">
        <v>1425</v>
      </c>
      <c r="K129" s="4">
        <v>2211</v>
      </c>
      <c r="L129" s="4">
        <v>2192</v>
      </c>
      <c r="M129" s="4">
        <v>1252</v>
      </c>
      <c r="N129" s="4">
        <v>2402</v>
      </c>
      <c r="O129" s="4">
        <v>2395</v>
      </c>
      <c r="P129" s="4">
        <v>877</v>
      </c>
    </row>
    <row r="130" spans="1:16" x14ac:dyDescent="0.45">
      <c r="A130" s="54">
        <v>9</v>
      </c>
      <c r="B130" s="2" t="s">
        <v>191</v>
      </c>
      <c r="C130" s="2" t="s">
        <v>44</v>
      </c>
      <c r="D130" s="4">
        <v>84</v>
      </c>
      <c r="E130" s="4">
        <v>1430</v>
      </c>
      <c r="F130" s="4">
        <v>97</v>
      </c>
      <c r="G130" s="4">
        <v>439</v>
      </c>
      <c r="H130" s="4">
        <v>463</v>
      </c>
      <c r="I130" s="4">
        <v>167</v>
      </c>
      <c r="J130" s="4">
        <v>178</v>
      </c>
      <c r="K130" s="4">
        <v>411</v>
      </c>
      <c r="L130" s="4">
        <v>122</v>
      </c>
      <c r="M130" s="4">
        <v>63</v>
      </c>
      <c r="N130" s="4">
        <v>113</v>
      </c>
      <c r="O130" s="4">
        <v>170</v>
      </c>
      <c r="P130" s="4">
        <v>94</v>
      </c>
    </row>
    <row r="131" spans="1:16" x14ac:dyDescent="0.45">
      <c r="A131" s="54">
        <v>9</v>
      </c>
      <c r="B131" s="2" t="s">
        <v>191</v>
      </c>
      <c r="C131" s="2" t="s">
        <v>45</v>
      </c>
      <c r="D131" s="4">
        <v>10</v>
      </c>
      <c r="E131" s="4">
        <v>857</v>
      </c>
      <c r="F131" s="4">
        <v>123</v>
      </c>
      <c r="G131" s="4">
        <v>236</v>
      </c>
      <c r="H131" s="4">
        <v>53</v>
      </c>
      <c r="I131" s="4">
        <v>87</v>
      </c>
      <c r="J131" s="4">
        <v>126</v>
      </c>
      <c r="K131" s="4">
        <v>271</v>
      </c>
      <c r="L131" s="4">
        <v>259</v>
      </c>
      <c r="M131" s="4">
        <v>43</v>
      </c>
      <c r="N131" s="4">
        <v>65</v>
      </c>
      <c r="O131" s="4">
        <v>610</v>
      </c>
      <c r="P131" s="4">
        <v>113</v>
      </c>
    </row>
    <row r="132" spans="1:16" x14ac:dyDescent="0.45">
      <c r="A132" s="54">
        <v>9</v>
      </c>
      <c r="B132" s="2" t="s">
        <v>191</v>
      </c>
      <c r="C132" s="2" t="s">
        <v>46</v>
      </c>
      <c r="D132" s="4">
        <v>2000</v>
      </c>
      <c r="E132" s="4">
        <v>727</v>
      </c>
      <c r="F132" s="4">
        <v>220</v>
      </c>
      <c r="G132" s="4">
        <v>18190</v>
      </c>
      <c r="H132" s="4">
        <v>14797</v>
      </c>
      <c r="I132" s="4">
        <v>104</v>
      </c>
      <c r="J132" s="4">
        <v>23734</v>
      </c>
      <c r="K132" s="4">
        <v>765</v>
      </c>
      <c r="L132" s="4">
        <v>1909</v>
      </c>
      <c r="M132" s="4">
        <v>1504</v>
      </c>
      <c r="N132" s="4">
        <v>1209</v>
      </c>
      <c r="O132" s="4">
        <v>1850</v>
      </c>
      <c r="P132" s="4">
        <v>2400</v>
      </c>
    </row>
    <row r="133" spans="1:16" x14ac:dyDescent="0.45">
      <c r="A133" s="54">
        <v>9</v>
      </c>
      <c r="B133" s="2" t="s">
        <v>191</v>
      </c>
      <c r="C133" s="2" t="s">
        <v>47</v>
      </c>
      <c r="D133" s="4">
        <v>262</v>
      </c>
      <c r="E133" s="4">
        <v>1102</v>
      </c>
      <c r="F133" s="4">
        <v>430</v>
      </c>
      <c r="G133" s="4">
        <v>69</v>
      </c>
      <c r="H133" s="4">
        <v>1684</v>
      </c>
      <c r="I133" s="4">
        <v>118</v>
      </c>
      <c r="J133" s="4">
        <v>95</v>
      </c>
      <c r="K133" s="4">
        <v>148</v>
      </c>
      <c r="L133" s="4">
        <v>83</v>
      </c>
      <c r="M133" s="4">
        <v>159</v>
      </c>
      <c r="N133" s="4">
        <v>87</v>
      </c>
      <c r="O133" s="4">
        <v>1996</v>
      </c>
      <c r="P133" s="4">
        <v>102</v>
      </c>
    </row>
    <row r="134" spans="1:16" x14ac:dyDescent="0.45">
      <c r="A134" s="54">
        <v>9</v>
      </c>
      <c r="B134" s="2" t="s">
        <v>191</v>
      </c>
      <c r="C134" s="2" t="s">
        <v>48</v>
      </c>
      <c r="D134" s="4">
        <v>15</v>
      </c>
      <c r="E134" s="4">
        <v>0</v>
      </c>
      <c r="F134" s="4">
        <v>35</v>
      </c>
      <c r="G134" s="4">
        <v>309</v>
      </c>
      <c r="H134" s="4">
        <v>99</v>
      </c>
      <c r="I134" s="4">
        <v>455</v>
      </c>
      <c r="J134" s="4">
        <v>53</v>
      </c>
      <c r="K134" s="4">
        <v>312</v>
      </c>
      <c r="L134" s="4">
        <v>575</v>
      </c>
      <c r="M134" s="4">
        <v>309</v>
      </c>
      <c r="N134" s="4">
        <v>7</v>
      </c>
      <c r="O134" s="4">
        <v>159</v>
      </c>
      <c r="P134" s="4">
        <v>22</v>
      </c>
    </row>
    <row r="135" spans="1:16" x14ac:dyDescent="0.45">
      <c r="A135" s="54">
        <v>9</v>
      </c>
      <c r="B135" s="2" t="s">
        <v>191</v>
      </c>
      <c r="C135" s="2" t="s">
        <v>49</v>
      </c>
      <c r="D135" s="4">
        <v>928</v>
      </c>
      <c r="E135" s="4">
        <v>2822</v>
      </c>
      <c r="F135" s="4">
        <v>2605</v>
      </c>
      <c r="G135" s="4">
        <v>6461</v>
      </c>
      <c r="H135" s="4">
        <v>8215</v>
      </c>
      <c r="I135" s="4">
        <v>3733</v>
      </c>
      <c r="J135" s="4">
        <v>4922</v>
      </c>
      <c r="K135" s="4">
        <v>6017</v>
      </c>
      <c r="L135" s="4">
        <v>3946</v>
      </c>
      <c r="M135" s="4">
        <v>2933</v>
      </c>
      <c r="N135" s="4">
        <v>2989</v>
      </c>
      <c r="O135" s="4">
        <v>4938</v>
      </c>
      <c r="P135" s="4">
        <v>1917</v>
      </c>
    </row>
    <row r="136" spans="1:16" x14ac:dyDescent="0.45">
      <c r="A136" s="54">
        <v>9</v>
      </c>
      <c r="B136" s="2" t="s">
        <v>191</v>
      </c>
      <c r="C136" s="2" t="s">
        <v>50</v>
      </c>
      <c r="D136" s="4">
        <v>914</v>
      </c>
      <c r="E136" s="4">
        <v>131</v>
      </c>
      <c r="F136" s="4">
        <v>463</v>
      </c>
      <c r="G136" s="4">
        <v>92</v>
      </c>
      <c r="H136" s="4">
        <v>20</v>
      </c>
      <c r="I136" s="4">
        <v>286</v>
      </c>
      <c r="J136" s="4">
        <v>221</v>
      </c>
      <c r="K136" s="4">
        <v>873</v>
      </c>
      <c r="L136" s="4">
        <v>266</v>
      </c>
      <c r="M136" s="4">
        <v>490</v>
      </c>
      <c r="N136" s="4">
        <v>2657</v>
      </c>
      <c r="O136" s="4">
        <v>940</v>
      </c>
      <c r="P136" s="4">
        <v>35</v>
      </c>
    </row>
    <row r="137" spans="1:16" x14ac:dyDescent="0.45">
      <c r="A137" s="54">
        <v>10</v>
      </c>
      <c r="B137" s="2" t="s">
        <v>192</v>
      </c>
      <c r="C137" s="2" t="s">
        <v>36</v>
      </c>
      <c r="D137" s="4">
        <v>101</v>
      </c>
      <c r="E137" s="4">
        <v>4</v>
      </c>
      <c r="F137" s="4">
        <v>106</v>
      </c>
      <c r="G137" s="4">
        <v>1724</v>
      </c>
      <c r="H137" s="4">
        <v>16</v>
      </c>
      <c r="I137" s="4">
        <v>534</v>
      </c>
      <c r="J137" s="4">
        <v>265</v>
      </c>
      <c r="K137" s="4">
        <v>911</v>
      </c>
      <c r="L137" s="4">
        <v>215</v>
      </c>
      <c r="M137" s="4">
        <v>30</v>
      </c>
      <c r="N137" s="4">
        <v>210</v>
      </c>
      <c r="O137" s="4">
        <v>7</v>
      </c>
      <c r="P137" s="4">
        <v>678</v>
      </c>
    </row>
    <row r="138" spans="1:16" x14ac:dyDescent="0.45">
      <c r="A138" s="54">
        <v>10</v>
      </c>
      <c r="B138" s="2" t="s">
        <v>192</v>
      </c>
      <c r="C138" s="2" t="s">
        <v>37</v>
      </c>
      <c r="D138" s="4">
        <v>0</v>
      </c>
      <c r="E138" s="4">
        <v>0</v>
      </c>
      <c r="F138" s="4">
        <v>1</v>
      </c>
      <c r="G138" s="4">
        <v>0</v>
      </c>
      <c r="H138" s="4">
        <v>0</v>
      </c>
      <c r="I138" s="4">
        <v>0</v>
      </c>
      <c r="J138" s="4">
        <v>15</v>
      </c>
      <c r="K138" s="4">
        <v>0</v>
      </c>
      <c r="L138" s="4">
        <v>15</v>
      </c>
      <c r="M138" s="4">
        <v>0</v>
      </c>
      <c r="N138" s="4">
        <v>2</v>
      </c>
      <c r="O138" s="4">
        <v>40</v>
      </c>
      <c r="P138" s="4">
        <v>20</v>
      </c>
    </row>
    <row r="139" spans="1:16" x14ac:dyDescent="0.45">
      <c r="A139" s="54">
        <v>10</v>
      </c>
      <c r="B139" s="2" t="s">
        <v>192</v>
      </c>
      <c r="C139" s="2" t="s">
        <v>38</v>
      </c>
      <c r="D139" s="4">
        <v>165</v>
      </c>
      <c r="E139" s="4">
        <v>867</v>
      </c>
      <c r="F139" s="4">
        <v>65</v>
      </c>
      <c r="G139" s="4">
        <v>1678</v>
      </c>
      <c r="H139" s="4">
        <v>145</v>
      </c>
      <c r="I139" s="4">
        <v>117</v>
      </c>
      <c r="J139" s="4">
        <v>6517</v>
      </c>
      <c r="K139" s="4">
        <v>1231</v>
      </c>
      <c r="L139" s="4">
        <v>348</v>
      </c>
      <c r="M139" s="4">
        <v>175</v>
      </c>
      <c r="N139" s="4">
        <v>405</v>
      </c>
      <c r="O139" s="4">
        <v>568</v>
      </c>
      <c r="P139" s="4">
        <v>154</v>
      </c>
    </row>
    <row r="140" spans="1:16" x14ac:dyDescent="0.45">
      <c r="A140" s="54">
        <v>10</v>
      </c>
      <c r="B140" s="2" t="s">
        <v>192</v>
      </c>
      <c r="C140" s="2" t="s">
        <v>39</v>
      </c>
      <c r="D140" s="4">
        <v>697</v>
      </c>
      <c r="E140" s="4">
        <v>70</v>
      </c>
      <c r="F140" s="4">
        <v>582</v>
      </c>
      <c r="G140" s="4">
        <v>442</v>
      </c>
      <c r="H140" s="4">
        <v>165</v>
      </c>
      <c r="I140" s="4">
        <v>1342</v>
      </c>
      <c r="J140" s="4">
        <v>414</v>
      </c>
      <c r="K140" s="4">
        <v>287</v>
      </c>
      <c r="L140" s="4">
        <v>461</v>
      </c>
      <c r="M140" s="4">
        <v>333</v>
      </c>
      <c r="N140" s="4">
        <v>465</v>
      </c>
      <c r="O140" s="4">
        <v>295</v>
      </c>
      <c r="P140" s="4">
        <v>595</v>
      </c>
    </row>
    <row r="141" spans="1:16" x14ac:dyDescent="0.45">
      <c r="A141" s="54">
        <v>10</v>
      </c>
      <c r="B141" s="2" t="s">
        <v>192</v>
      </c>
      <c r="C141" s="2" t="s">
        <v>40</v>
      </c>
      <c r="D141" s="4">
        <v>-232</v>
      </c>
      <c r="E141" s="4">
        <v>59</v>
      </c>
      <c r="F141" s="4">
        <v>201</v>
      </c>
      <c r="G141" s="4">
        <v>0</v>
      </c>
      <c r="H141" s="4">
        <v>10</v>
      </c>
      <c r="I141" s="4">
        <v>77</v>
      </c>
      <c r="J141" s="4">
        <v>-15</v>
      </c>
      <c r="K141" s="4">
        <v>55</v>
      </c>
      <c r="L141" s="4">
        <v>81</v>
      </c>
      <c r="M141" s="4">
        <v>6</v>
      </c>
      <c r="N141" s="4">
        <v>219</v>
      </c>
      <c r="O141" s="4">
        <v>-31</v>
      </c>
      <c r="P141" s="4">
        <v>215</v>
      </c>
    </row>
    <row r="142" spans="1:16" x14ac:dyDescent="0.45">
      <c r="A142" s="54">
        <v>10</v>
      </c>
      <c r="B142" s="2" t="s">
        <v>192</v>
      </c>
      <c r="C142" s="2" t="s">
        <v>41</v>
      </c>
      <c r="D142" s="4">
        <v>1</v>
      </c>
      <c r="E142" s="3"/>
      <c r="F142" s="4">
        <v>0</v>
      </c>
      <c r="G142" s="4">
        <v>0</v>
      </c>
      <c r="H142" s="4">
        <v>0</v>
      </c>
      <c r="I142" s="4">
        <v>0</v>
      </c>
      <c r="J142" s="3"/>
      <c r="K142" s="4">
        <v>0</v>
      </c>
      <c r="L142" s="3"/>
      <c r="M142" s="3"/>
      <c r="N142" s="3"/>
      <c r="O142" s="3"/>
      <c r="P142" s="3"/>
    </row>
    <row r="143" spans="1:16" x14ac:dyDescent="0.45">
      <c r="A143" s="54">
        <v>10</v>
      </c>
      <c r="B143" s="2" t="s">
        <v>192</v>
      </c>
      <c r="C143" s="2" t="s">
        <v>42</v>
      </c>
      <c r="D143" s="4">
        <v>8</v>
      </c>
      <c r="E143" s="4">
        <v>1</v>
      </c>
      <c r="F143" s="4">
        <v>45</v>
      </c>
      <c r="G143" s="4">
        <v>98</v>
      </c>
      <c r="H143" s="4">
        <v>2313</v>
      </c>
      <c r="I143" s="4">
        <v>21</v>
      </c>
      <c r="J143" s="4">
        <v>431</v>
      </c>
      <c r="K143" s="4">
        <v>1085</v>
      </c>
      <c r="L143" s="4">
        <v>346</v>
      </c>
      <c r="M143" s="4">
        <v>80</v>
      </c>
      <c r="N143" s="4">
        <v>94</v>
      </c>
      <c r="O143" s="4">
        <v>28</v>
      </c>
      <c r="P143" s="4">
        <v>17</v>
      </c>
    </row>
    <row r="144" spans="1:16" x14ac:dyDescent="0.45">
      <c r="A144" s="54">
        <v>10</v>
      </c>
      <c r="B144" s="2" t="s">
        <v>192</v>
      </c>
      <c r="C144" s="2" t="s">
        <v>43</v>
      </c>
      <c r="D144" s="4">
        <v>93</v>
      </c>
      <c r="E144" s="4">
        <v>19</v>
      </c>
      <c r="F144" s="4">
        <v>1</v>
      </c>
      <c r="G144" s="4">
        <v>6091</v>
      </c>
      <c r="H144" s="4">
        <v>8402</v>
      </c>
      <c r="I144" s="4">
        <v>8041</v>
      </c>
      <c r="J144" s="4">
        <v>154</v>
      </c>
      <c r="K144" s="4">
        <v>5069</v>
      </c>
      <c r="L144" s="4">
        <v>9871</v>
      </c>
      <c r="M144" s="4">
        <v>4698</v>
      </c>
      <c r="N144" s="4">
        <v>6303</v>
      </c>
      <c r="O144" s="4">
        <v>3272</v>
      </c>
      <c r="P144" s="4">
        <v>3084</v>
      </c>
    </row>
    <row r="145" spans="1:16" x14ac:dyDescent="0.45">
      <c r="A145" s="54">
        <v>10</v>
      </c>
      <c r="B145" s="2" t="s">
        <v>192</v>
      </c>
      <c r="C145" s="2" t="s">
        <v>44</v>
      </c>
      <c r="D145" s="4">
        <v>269</v>
      </c>
      <c r="E145" s="4">
        <v>289</v>
      </c>
      <c r="F145" s="4">
        <v>35</v>
      </c>
      <c r="G145" s="4">
        <v>1629</v>
      </c>
      <c r="H145" s="4">
        <v>256</v>
      </c>
      <c r="I145" s="4">
        <v>473</v>
      </c>
      <c r="J145" s="4">
        <v>53</v>
      </c>
      <c r="K145" s="4">
        <v>99</v>
      </c>
      <c r="L145" s="4">
        <v>4</v>
      </c>
      <c r="M145" s="4">
        <v>313</v>
      </c>
      <c r="N145" s="4">
        <v>460</v>
      </c>
      <c r="O145" s="4">
        <v>225</v>
      </c>
      <c r="P145" s="4">
        <v>489</v>
      </c>
    </row>
    <row r="146" spans="1:16" x14ac:dyDescent="0.45">
      <c r="A146" s="54">
        <v>10</v>
      </c>
      <c r="B146" s="2" t="s">
        <v>192</v>
      </c>
      <c r="C146" s="2" t="s">
        <v>45</v>
      </c>
      <c r="D146" s="4">
        <v>22</v>
      </c>
      <c r="E146" s="4">
        <v>91</v>
      </c>
      <c r="F146" s="4">
        <v>21678</v>
      </c>
      <c r="G146" s="4">
        <v>1705</v>
      </c>
      <c r="H146" s="4">
        <v>7</v>
      </c>
      <c r="I146" s="4">
        <v>35</v>
      </c>
      <c r="J146" s="4">
        <v>2</v>
      </c>
      <c r="K146" s="4">
        <v>1</v>
      </c>
      <c r="L146" s="4">
        <v>2</v>
      </c>
      <c r="M146" s="4">
        <v>14</v>
      </c>
      <c r="N146" s="4">
        <v>524</v>
      </c>
      <c r="O146" s="4">
        <v>910</v>
      </c>
      <c r="P146" s="4">
        <v>383</v>
      </c>
    </row>
    <row r="147" spans="1:16" x14ac:dyDescent="0.45">
      <c r="A147" s="54">
        <v>10</v>
      </c>
      <c r="B147" s="2" t="s">
        <v>192</v>
      </c>
      <c r="C147" s="2" t="s">
        <v>46</v>
      </c>
      <c r="D147" s="4">
        <v>755</v>
      </c>
      <c r="E147" s="4">
        <v>1100</v>
      </c>
      <c r="F147" s="4">
        <v>36</v>
      </c>
      <c r="G147" s="4">
        <v>39</v>
      </c>
      <c r="H147" s="4">
        <v>152</v>
      </c>
      <c r="I147" s="4">
        <v>89</v>
      </c>
      <c r="J147" s="4">
        <v>120</v>
      </c>
      <c r="K147" s="4">
        <v>406</v>
      </c>
      <c r="L147" s="4">
        <v>841</v>
      </c>
      <c r="M147" s="4">
        <v>397</v>
      </c>
      <c r="N147" s="4">
        <v>660</v>
      </c>
      <c r="O147" s="4">
        <v>1000</v>
      </c>
      <c r="P147" s="4">
        <v>366</v>
      </c>
    </row>
    <row r="148" spans="1:16" x14ac:dyDescent="0.45">
      <c r="A148" s="54">
        <v>10</v>
      </c>
      <c r="B148" s="2" t="s">
        <v>192</v>
      </c>
      <c r="C148" s="2" t="s">
        <v>47</v>
      </c>
      <c r="D148" s="4">
        <v>21</v>
      </c>
      <c r="E148" s="4">
        <v>22</v>
      </c>
      <c r="F148" s="4">
        <v>252</v>
      </c>
      <c r="G148" s="4">
        <v>121</v>
      </c>
      <c r="H148" s="4">
        <v>766</v>
      </c>
      <c r="I148" s="4">
        <v>76</v>
      </c>
      <c r="J148" s="4">
        <v>173</v>
      </c>
      <c r="K148" s="4">
        <v>241</v>
      </c>
      <c r="L148" s="4">
        <v>103</v>
      </c>
      <c r="M148" s="4">
        <v>195</v>
      </c>
      <c r="N148" s="4">
        <v>848</v>
      </c>
      <c r="O148" s="4">
        <v>243</v>
      </c>
      <c r="P148" s="4">
        <v>264</v>
      </c>
    </row>
    <row r="149" spans="1:16" x14ac:dyDescent="0.45">
      <c r="A149" s="54">
        <v>10</v>
      </c>
      <c r="B149" s="2" t="s">
        <v>192</v>
      </c>
      <c r="C149" s="2" t="s">
        <v>48</v>
      </c>
      <c r="D149" s="4">
        <v>0</v>
      </c>
      <c r="E149" s="4">
        <v>60</v>
      </c>
      <c r="F149" s="4">
        <v>0</v>
      </c>
      <c r="G149" s="4">
        <v>110</v>
      </c>
      <c r="H149" s="4">
        <v>280</v>
      </c>
      <c r="I149" s="4">
        <v>464</v>
      </c>
      <c r="J149" s="4">
        <v>133</v>
      </c>
      <c r="K149" s="4">
        <v>71</v>
      </c>
      <c r="L149" s="4">
        <v>218</v>
      </c>
      <c r="M149" s="4">
        <v>168</v>
      </c>
      <c r="N149" s="4">
        <v>149</v>
      </c>
      <c r="O149" s="4">
        <v>262</v>
      </c>
      <c r="P149" s="4">
        <v>0</v>
      </c>
    </row>
    <row r="150" spans="1:16" x14ac:dyDescent="0.45">
      <c r="A150" s="54">
        <v>10</v>
      </c>
      <c r="B150" s="2" t="s">
        <v>192</v>
      </c>
      <c r="C150" s="2" t="s">
        <v>49</v>
      </c>
      <c r="D150" s="4">
        <v>2262</v>
      </c>
      <c r="E150" s="4">
        <v>1946</v>
      </c>
      <c r="F150" s="4">
        <v>-237</v>
      </c>
      <c r="G150" s="4">
        <v>3968</v>
      </c>
      <c r="H150" s="4">
        <v>4708</v>
      </c>
      <c r="I150" s="4">
        <v>1846</v>
      </c>
      <c r="J150" s="4">
        <v>4047</v>
      </c>
      <c r="K150" s="4">
        <v>6154</v>
      </c>
      <c r="L150" s="4">
        <v>3770</v>
      </c>
      <c r="M150" s="4">
        <v>2101</v>
      </c>
      <c r="N150" s="4">
        <v>6603</v>
      </c>
      <c r="O150" s="4">
        <v>1679</v>
      </c>
      <c r="P150" s="4">
        <v>1454</v>
      </c>
    </row>
    <row r="151" spans="1:16" x14ac:dyDescent="0.45">
      <c r="A151" s="54">
        <v>10</v>
      </c>
      <c r="B151" s="2" t="s">
        <v>192</v>
      </c>
      <c r="C151" s="2" t="s">
        <v>50</v>
      </c>
      <c r="D151" s="4">
        <v>-1867</v>
      </c>
      <c r="E151" s="4">
        <v>28</v>
      </c>
      <c r="F151" s="4">
        <v>211</v>
      </c>
      <c r="G151" s="4">
        <v>137</v>
      </c>
      <c r="H151" s="4">
        <v>137</v>
      </c>
      <c r="I151" s="4">
        <v>90</v>
      </c>
      <c r="J151" s="4">
        <v>279</v>
      </c>
      <c r="K151" s="4">
        <v>1654</v>
      </c>
      <c r="L151" s="4">
        <v>197</v>
      </c>
      <c r="M151" s="4">
        <v>52</v>
      </c>
      <c r="N151" s="4">
        <v>52</v>
      </c>
      <c r="O151" s="4">
        <v>291</v>
      </c>
      <c r="P151" s="4">
        <v>25</v>
      </c>
    </row>
    <row r="152" spans="1:16" x14ac:dyDescent="0.45">
      <c r="A152" s="54">
        <v>11</v>
      </c>
      <c r="B152" s="2" t="s">
        <v>172</v>
      </c>
      <c r="C152" s="2" t="s">
        <v>36</v>
      </c>
      <c r="D152" s="4">
        <v>2</v>
      </c>
      <c r="E152" s="4">
        <v>46</v>
      </c>
      <c r="F152" s="4">
        <v>22</v>
      </c>
      <c r="G152" s="4">
        <v>27</v>
      </c>
      <c r="H152" s="4">
        <v>10</v>
      </c>
      <c r="I152" s="4">
        <v>114</v>
      </c>
      <c r="J152" s="4">
        <v>16</v>
      </c>
      <c r="K152" s="4">
        <v>15</v>
      </c>
      <c r="L152" s="4">
        <v>-1</v>
      </c>
      <c r="M152" s="4">
        <v>3</v>
      </c>
      <c r="N152" s="4">
        <v>11</v>
      </c>
      <c r="O152" s="4">
        <v>81</v>
      </c>
      <c r="P152" s="4">
        <v>13</v>
      </c>
    </row>
    <row r="153" spans="1:16" x14ac:dyDescent="0.45">
      <c r="A153" s="54">
        <v>11</v>
      </c>
      <c r="B153" s="2" t="s">
        <v>172</v>
      </c>
      <c r="C153" s="2" t="s">
        <v>37</v>
      </c>
      <c r="D153" s="4">
        <v>4</v>
      </c>
      <c r="E153" s="4">
        <v>35</v>
      </c>
      <c r="F153" s="4">
        <v>2</v>
      </c>
      <c r="G153" s="4">
        <v>54</v>
      </c>
      <c r="H153" s="4">
        <v>10</v>
      </c>
      <c r="I153" s="4">
        <v>35</v>
      </c>
      <c r="J153" s="4">
        <v>2</v>
      </c>
      <c r="K153" s="4">
        <v>27</v>
      </c>
      <c r="L153" s="4">
        <v>8</v>
      </c>
      <c r="M153" s="4">
        <v>11</v>
      </c>
      <c r="N153" s="4">
        <v>55</v>
      </c>
      <c r="O153" s="4">
        <v>15</v>
      </c>
      <c r="P153" s="4">
        <v>29</v>
      </c>
    </row>
    <row r="154" spans="1:16" x14ac:dyDescent="0.45">
      <c r="A154" s="54">
        <v>11</v>
      </c>
      <c r="B154" s="2" t="s">
        <v>172</v>
      </c>
      <c r="C154" s="2" t="s">
        <v>38</v>
      </c>
      <c r="D154" s="4">
        <v>2</v>
      </c>
      <c r="E154" s="4">
        <v>2</v>
      </c>
      <c r="F154" s="4">
        <v>52</v>
      </c>
      <c r="G154" s="4">
        <v>0</v>
      </c>
      <c r="H154" s="4">
        <v>12</v>
      </c>
      <c r="I154" s="4">
        <v>48</v>
      </c>
      <c r="J154" s="4">
        <v>25</v>
      </c>
      <c r="K154" s="4">
        <v>84</v>
      </c>
      <c r="L154" s="4">
        <v>3</v>
      </c>
      <c r="M154" s="4">
        <v>8</v>
      </c>
      <c r="N154" s="4">
        <v>55</v>
      </c>
      <c r="O154" s="4">
        <v>96</v>
      </c>
      <c r="P154" s="4">
        <v>23</v>
      </c>
    </row>
    <row r="155" spans="1:16" x14ac:dyDescent="0.45">
      <c r="A155" s="54">
        <v>11</v>
      </c>
      <c r="B155" s="2" t="s">
        <v>172</v>
      </c>
      <c r="C155" s="2" t="s">
        <v>39</v>
      </c>
      <c r="D155" s="4">
        <v>349</v>
      </c>
      <c r="E155" s="4">
        <v>310</v>
      </c>
      <c r="F155" s="4">
        <v>153</v>
      </c>
      <c r="G155" s="4">
        <v>63</v>
      </c>
      <c r="H155" s="4">
        <v>46</v>
      </c>
      <c r="I155" s="4">
        <v>97</v>
      </c>
      <c r="J155" s="4">
        <v>116</v>
      </c>
      <c r="K155" s="4">
        <v>202</v>
      </c>
      <c r="L155" s="4">
        <v>301</v>
      </c>
      <c r="M155" s="4">
        <v>214</v>
      </c>
      <c r="N155" s="4">
        <v>108</v>
      </c>
      <c r="O155" s="4">
        <v>1034</v>
      </c>
      <c r="P155" s="4">
        <v>269</v>
      </c>
    </row>
    <row r="156" spans="1:16" x14ac:dyDescent="0.45">
      <c r="A156" s="54">
        <v>11</v>
      </c>
      <c r="B156" s="2" t="s">
        <v>172</v>
      </c>
      <c r="C156" s="2" t="s">
        <v>40</v>
      </c>
      <c r="D156" s="4">
        <v>1</v>
      </c>
      <c r="E156" s="4">
        <v>30</v>
      </c>
      <c r="F156" s="4">
        <v>8</v>
      </c>
      <c r="G156" s="4">
        <v>1</v>
      </c>
      <c r="H156" s="4">
        <v>0</v>
      </c>
      <c r="I156" s="4">
        <v>5</v>
      </c>
      <c r="J156" s="4">
        <v>10</v>
      </c>
      <c r="K156" s="4">
        <v>5</v>
      </c>
      <c r="L156" s="4">
        <v>1</v>
      </c>
      <c r="M156" s="4">
        <v>9</v>
      </c>
      <c r="N156" s="4">
        <v>3</v>
      </c>
      <c r="O156" s="4">
        <v>7</v>
      </c>
      <c r="P156" s="4">
        <v>6</v>
      </c>
    </row>
    <row r="157" spans="1:16" x14ac:dyDescent="0.45">
      <c r="A157" s="54">
        <v>11</v>
      </c>
      <c r="B157" s="2" t="s">
        <v>172</v>
      </c>
      <c r="C157" s="2" t="s">
        <v>42</v>
      </c>
      <c r="D157" s="4">
        <v>94</v>
      </c>
      <c r="E157" s="4">
        <v>475</v>
      </c>
      <c r="F157" s="4">
        <v>504</v>
      </c>
      <c r="G157" s="4">
        <v>116</v>
      </c>
      <c r="H157" s="4">
        <v>35</v>
      </c>
      <c r="I157" s="4">
        <v>26</v>
      </c>
      <c r="J157" s="4">
        <v>96</v>
      </c>
      <c r="K157" s="4">
        <v>465</v>
      </c>
      <c r="L157" s="4">
        <v>709</v>
      </c>
      <c r="M157" s="4">
        <v>189</v>
      </c>
      <c r="N157" s="4">
        <v>478</v>
      </c>
      <c r="O157" s="4">
        <v>585</v>
      </c>
      <c r="P157" s="4">
        <v>81</v>
      </c>
    </row>
    <row r="158" spans="1:16" x14ac:dyDescent="0.45">
      <c r="A158" s="54">
        <v>11</v>
      </c>
      <c r="B158" s="2" t="s">
        <v>172</v>
      </c>
      <c r="C158" s="2" t="s">
        <v>43</v>
      </c>
      <c r="D158" s="4">
        <v>0</v>
      </c>
      <c r="E158" s="3"/>
      <c r="F158" s="3"/>
      <c r="G158" s="4">
        <v>23</v>
      </c>
      <c r="H158" s="4">
        <v>0</v>
      </c>
      <c r="I158" s="3"/>
      <c r="J158" s="3"/>
      <c r="K158" s="4">
        <v>5</v>
      </c>
      <c r="L158" s="4">
        <v>5</v>
      </c>
      <c r="M158" s="4">
        <v>4</v>
      </c>
      <c r="N158" s="4">
        <v>53</v>
      </c>
      <c r="O158" s="4">
        <v>12</v>
      </c>
      <c r="P158" s="4">
        <v>9</v>
      </c>
    </row>
    <row r="159" spans="1:16" x14ac:dyDescent="0.45">
      <c r="A159" s="54">
        <v>11</v>
      </c>
      <c r="B159" s="2" t="s">
        <v>172</v>
      </c>
      <c r="C159" s="2" t="s">
        <v>44</v>
      </c>
      <c r="D159" s="4">
        <v>356</v>
      </c>
      <c r="E159" s="4">
        <v>104</v>
      </c>
      <c r="F159" s="4">
        <v>-138</v>
      </c>
      <c r="G159" s="4">
        <v>53</v>
      </c>
      <c r="H159" s="4">
        <v>21</v>
      </c>
      <c r="I159" s="4">
        <v>20</v>
      </c>
      <c r="J159" s="4">
        <v>86</v>
      </c>
      <c r="K159" s="4">
        <v>48</v>
      </c>
      <c r="L159" s="4">
        <v>9</v>
      </c>
      <c r="M159" s="4">
        <v>12</v>
      </c>
      <c r="N159" s="4">
        <v>16</v>
      </c>
      <c r="O159" s="4">
        <v>38</v>
      </c>
      <c r="P159" s="4">
        <v>77</v>
      </c>
    </row>
    <row r="160" spans="1:16" x14ac:dyDescent="0.45">
      <c r="A160" s="54">
        <v>11</v>
      </c>
      <c r="B160" s="2" t="s">
        <v>172</v>
      </c>
      <c r="C160" s="2" t="s">
        <v>45</v>
      </c>
      <c r="D160" s="3"/>
      <c r="E160" s="3"/>
      <c r="F160" s="3"/>
      <c r="G160" s="4">
        <v>2</v>
      </c>
      <c r="H160" s="4">
        <v>0</v>
      </c>
      <c r="I160" s="4">
        <v>1</v>
      </c>
      <c r="J160" s="4">
        <v>5</v>
      </c>
      <c r="K160" s="3"/>
      <c r="L160" s="3"/>
      <c r="M160" s="4">
        <v>2</v>
      </c>
      <c r="N160" s="4">
        <v>0</v>
      </c>
      <c r="O160" s="4">
        <v>1</v>
      </c>
      <c r="P160" s="4">
        <v>1</v>
      </c>
    </row>
    <row r="161" spans="1:16" x14ac:dyDescent="0.45">
      <c r="A161" s="54">
        <v>11</v>
      </c>
      <c r="B161" s="2" t="s">
        <v>172</v>
      </c>
      <c r="C161" s="2" t="s">
        <v>46</v>
      </c>
      <c r="D161" s="4">
        <v>11</v>
      </c>
      <c r="E161" s="3"/>
      <c r="F161" s="3"/>
      <c r="G161" s="3"/>
      <c r="H161" s="4">
        <v>1</v>
      </c>
      <c r="I161" s="4">
        <v>7</v>
      </c>
      <c r="J161" s="4">
        <v>0</v>
      </c>
      <c r="K161" s="3"/>
      <c r="L161" s="3"/>
      <c r="M161" s="3"/>
      <c r="N161" s="3"/>
      <c r="O161" s="4">
        <v>8</v>
      </c>
      <c r="P161" s="4">
        <v>0</v>
      </c>
    </row>
    <row r="162" spans="1:16" x14ac:dyDescent="0.45">
      <c r="A162" s="54">
        <v>11</v>
      </c>
      <c r="B162" s="2" t="s">
        <v>172</v>
      </c>
      <c r="C162" s="2" t="s">
        <v>47</v>
      </c>
      <c r="D162" s="4">
        <v>4</v>
      </c>
      <c r="E162" s="4">
        <v>0</v>
      </c>
      <c r="F162" s="4">
        <v>2</v>
      </c>
      <c r="G162" s="4">
        <v>5</v>
      </c>
      <c r="H162" s="4">
        <v>1</v>
      </c>
      <c r="I162" s="4">
        <v>6</v>
      </c>
      <c r="J162" s="4">
        <v>4</v>
      </c>
      <c r="K162" s="4">
        <v>20</v>
      </c>
      <c r="L162" s="4">
        <v>0</v>
      </c>
      <c r="M162" s="4">
        <v>4</v>
      </c>
      <c r="N162" s="4">
        <v>4</v>
      </c>
      <c r="O162" s="4">
        <v>2</v>
      </c>
      <c r="P162" s="4">
        <v>11</v>
      </c>
    </row>
    <row r="163" spans="1:16" x14ac:dyDescent="0.45">
      <c r="A163" s="54">
        <v>11</v>
      </c>
      <c r="B163" s="2" t="s">
        <v>172</v>
      </c>
      <c r="C163" s="2" t="s">
        <v>48</v>
      </c>
      <c r="D163" s="4">
        <v>2</v>
      </c>
      <c r="E163" s="4">
        <v>22</v>
      </c>
      <c r="F163" s="4">
        <v>0</v>
      </c>
      <c r="G163" s="4">
        <v>0</v>
      </c>
      <c r="H163" s="4">
        <v>2</v>
      </c>
      <c r="I163" s="4">
        <v>0</v>
      </c>
      <c r="J163" s="4">
        <v>3</v>
      </c>
      <c r="K163" s="4">
        <v>19</v>
      </c>
      <c r="L163" s="4">
        <v>4</v>
      </c>
      <c r="M163" s="3"/>
      <c r="N163" s="4">
        <v>289</v>
      </c>
      <c r="O163" s="4">
        <v>84</v>
      </c>
      <c r="P163" s="4">
        <v>120</v>
      </c>
    </row>
    <row r="164" spans="1:16" x14ac:dyDescent="0.45">
      <c r="A164" s="54">
        <v>11</v>
      </c>
      <c r="B164" s="2" t="s">
        <v>172</v>
      </c>
      <c r="C164" s="2" t="s">
        <v>49</v>
      </c>
      <c r="D164" s="4">
        <v>11</v>
      </c>
      <c r="E164" s="4">
        <v>51</v>
      </c>
      <c r="F164" s="4">
        <v>20</v>
      </c>
      <c r="G164" s="4">
        <v>0</v>
      </c>
      <c r="H164" s="4">
        <v>9</v>
      </c>
      <c r="I164" s="4">
        <v>8</v>
      </c>
      <c r="J164" s="4">
        <v>6</v>
      </c>
      <c r="K164" s="4">
        <v>37</v>
      </c>
      <c r="L164" s="4">
        <v>9</v>
      </c>
      <c r="M164" s="4">
        <v>4</v>
      </c>
      <c r="N164" s="4">
        <v>27</v>
      </c>
      <c r="O164" s="4">
        <v>25</v>
      </c>
      <c r="P164" s="4">
        <v>32</v>
      </c>
    </row>
    <row r="165" spans="1:16" x14ac:dyDescent="0.45">
      <c r="A165" s="54">
        <v>11</v>
      </c>
      <c r="B165" s="2" t="s">
        <v>172</v>
      </c>
      <c r="C165" s="2" t="s">
        <v>50</v>
      </c>
      <c r="D165" s="4">
        <v>50</v>
      </c>
      <c r="E165" s="4">
        <v>1</v>
      </c>
      <c r="F165" s="4">
        <v>50</v>
      </c>
      <c r="G165" s="4">
        <v>1</v>
      </c>
      <c r="H165" s="4">
        <v>1</v>
      </c>
      <c r="I165" s="4">
        <v>9</v>
      </c>
      <c r="J165" s="4">
        <v>7</v>
      </c>
      <c r="K165" s="4">
        <v>4</v>
      </c>
      <c r="L165" s="4">
        <v>13</v>
      </c>
      <c r="M165" s="4">
        <v>2</v>
      </c>
      <c r="N165" s="4">
        <v>12</v>
      </c>
      <c r="O165" s="4">
        <v>9</v>
      </c>
      <c r="P165" s="4">
        <v>0</v>
      </c>
    </row>
    <row r="166" spans="1:16" x14ac:dyDescent="0.45">
      <c r="A166" s="54">
        <v>12</v>
      </c>
      <c r="B166" s="2" t="s">
        <v>174</v>
      </c>
      <c r="C166" s="2" t="s">
        <v>36</v>
      </c>
      <c r="D166" s="4">
        <v>3</v>
      </c>
      <c r="E166" s="4">
        <v>0</v>
      </c>
      <c r="F166" s="4">
        <v>0</v>
      </c>
      <c r="G166" s="4">
        <v>0</v>
      </c>
      <c r="H166" s="4">
        <v>2</v>
      </c>
      <c r="I166" s="4">
        <v>0</v>
      </c>
      <c r="J166" s="3"/>
      <c r="K166" s="3"/>
      <c r="L166" s="4">
        <v>2</v>
      </c>
      <c r="M166" s="4">
        <v>2</v>
      </c>
      <c r="N166" s="4">
        <v>5</v>
      </c>
      <c r="O166" s="4">
        <v>1</v>
      </c>
      <c r="P166" s="4">
        <v>0</v>
      </c>
    </row>
    <row r="167" spans="1:16" x14ac:dyDescent="0.45">
      <c r="A167" s="54">
        <v>12</v>
      </c>
      <c r="B167" s="2" t="s">
        <v>174</v>
      </c>
      <c r="C167" s="2" t="s">
        <v>37</v>
      </c>
      <c r="D167" s="4">
        <v>51</v>
      </c>
      <c r="E167" s="4">
        <v>227</v>
      </c>
      <c r="F167" s="4">
        <v>146</v>
      </c>
      <c r="G167" s="4">
        <v>312</v>
      </c>
      <c r="H167" s="4">
        <v>92</v>
      </c>
      <c r="I167" s="4">
        <v>54</v>
      </c>
      <c r="J167" s="4">
        <v>119</v>
      </c>
      <c r="K167" s="4">
        <v>84</v>
      </c>
      <c r="L167" s="4">
        <v>16</v>
      </c>
      <c r="M167" s="4">
        <v>33</v>
      </c>
      <c r="N167" s="4">
        <v>39</v>
      </c>
      <c r="O167" s="4">
        <v>112</v>
      </c>
      <c r="P167" s="4">
        <v>39</v>
      </c>
    </row>
    <row r="168" spans="1:16" x14ac:dyDescent="0.45">
      <c r="A168" s="54">
        <v>12</v>
      </c>
      <c r="B168" s="2" t="s">
        <v>174</v>
      </c>
      <c r="C168" s="2" t="s">
        <v>38</v>
      </c>
      <c r="D168" s="4">
        <v>22</v>
      </c>
      <c r="E168" s="4">
        <v>131</v>
      </c>
      <c r="F168" s="4">
        <v>23</v>
      </c>
      <c r="G168" s="4">
        <v>37</v>
      </c>
      <c r="H168" s="4">
        <v>50</v>
      </c>
      <c r="I168" s="4">
        <v>53</v>
      </c>
      <c r="J168" s="4">
        <v>65</v>
      </c>
      <c r="K168" s="4">
        <v>94</v>
      </c>
      <c r="L168" s="4">
        <v>31</v>
      </c>
      <c r="M168" s="4">
        <v>33</v>
      </c>
      <c r="N168" s="4">
        <v>22</v>
      </c>
      <c r="O168" s="4">
        <v>10</v>
      </c>
      <c r="P168" s="4">
        <v>8</v>
      </c>
    </row>
    <row r="169" spans="1:16" x14ac:dyDescent="0.45">
      <c r="A169" s="54">
        <v>12</v>
      </c>
      <c r="B169" s="2" t="s">
        <v>174</v>
      </c>
      <c r="C169" s="2" t="s">
        <v>39</v>
      </c>
      <c r="D169" s="4">
        <v>420</v>
      </c>
      <c r="E169" s="4">
        <v>163</v>
      </c>
      <c r="F169" s="4">
        <v>359</v>
      </c>
      <c r="G169" s="4">
        <v>291</v>
      </c>
      <c r="H169" s="4">
        <v>83</v>
      </c>
      <c r="I169" s="4">
        <v>383</v>
      </c>
      <c r="J169" s="4">
        <v>217</v>
      </c>
      <c r="K169" s="4">
        <v>61</v>
      </c>
      <c r="L169" s="4">
        <v>216</v>
      </c>
      <c r="M169" s="4">
        <v>90</v>
      </c>
      <c r="N169" s="4">
        <v>152</v>
      </c>
      <c r="O169" s="4">
        <v>328</v>
      </c>
      <c r="P169" s="4">
        <v>368</v>
      </c>
    </row>
    <row r="170" spans="1:16" x14ac:dyDescent="0.45">
      <c r="A170" s="54">
        <v>12</v>
      </c>
      <c r="B170" s="2" t="s">
        <v>174</v>
      </c>
      <c r="C170" s="2" t="s">
        <v>40</v>
      </c>
      <c r="D170" s="3"/>
      <c r="E170" s="3"/>
      <c r="F170" s="3"/>
      <c r="G170" s="3"/>
      <c r="H170" s="3"/>
      <c r="I170" s="4">
        <v>0</v>
      </c>
      <c r="J170" s="3"/>
      <c r="K170" s="3"/>
      <c r="L170" s="3"/>
      <c r="M170" s="4">
        <v>1</v>
      </c>
      <c r="N170" s="3"/>
      <c r="O170" s="3"/>
      <c r="P170" s="3"/>
    </row>
    <row r="171" spans="1:16" x14ac:dyDescent="0.45">
      <c r="A171" s="54">
        <v>12</v>
      </c>
      <c r="B171" s="2" t="s">
        <v>174</v>
      </c>
      <c r="C171" s="2" t="s">
        <v>42</v>
      </c>
      <c r="D171" s="4">
        <v>221</v>
      </c>
      <c r="E171" s="4">
        <v>528</v>
      </c>
      <c r="F171" s="4">
        <v>444</v>
      </c>
      <c r="G171" s="4">
        <v>386</v>
      </c>
      <c r="H171" s="4">
        <v>634</v>
      </c>
      <c r="I171" s="4">
        <v>274</v>
      </c>
      <c r="J171" s="4">
        <v>626</v>
      </c>
      <c r="K171" s="4">
        <v>461</v>
      </c>
      <c r="L171" s="4">
        <v>533</v>
      </c>
      <c r="M171" s="4">
        <v>387</v>
      </c>
      <c r="N171" s="4">
        <v>198</v>
      </c>
      <c r="O171" s="4">
        <v>560</v>
      </c>
      <c r="P171" s="4">
        <v>134</v>
      </c>
    </row>
    <row r="172" spans="1:16" x14ac:dyDescent="0.45">
      <c r="A172" s="54">
        <v>12</v>
      </c>
      <c r="B172" s="2" t="s">
        <v>174</v>
      </c>
      <c r="C172" s="2" t="s">
        <v>43</v>
      </c>
      <c r="D172" s="4">
        <v>0</v>
      </c>
      <c r="E172" s="4">
        <v>1</v>
      </c>
      <c r="F172" s="4">
        <v>0</v>
      </c>
      <c r="G172" s="4">
        <v>0</v>
      </c>
      <c r="H172" s="4">
        <v>0</v>
      </c>
      <c r="I172" s="3"/>
      <c r="J172" s="3"/>
      <c r="K172" s="3"/>
      <c r="L172" s="3"/>
      <c r="M172" s="3"/>
      <c r="N172" s="3"/>
      <c r="O172" s="4">
        <v>12</v>
      </c>
      <c r="P172" s="4">
        <v>0</v>
      </c>
    </row>
    <row r="173" spans="1:16" x14ac:dyDescent="0.45">
      <c r="A173" s="54">
        <v>12</v>
      </c>
      <c r="B173" s="2" t="s">
        <v>174</v>
      </c>
      <c r="C173" s="2" t="s">
        <v>44</v>
      </c>
      <c r="D173" s="4">
        <v>98</v>
      </c>
      <c r="E173" s="4">
        <v>113</v>
      </c>
      <c r="F173" s="4">
        <v>90</v>
      </c>
      <c r="G173" s="4">
        <v>105</v>
      </c>
      <c r="H173" s="4">
        <v>89</v>
      </c>
      <c r="I173" s="4">
        <v>59</v>
      </c>
      <c r="J173" s="4">
        <v>87</v>
      </c>
      <c r="K173" s="4">
        <v>68</v>
      </c>
      <c r="L173" s="4">
        <v>70</v>
      </c>
      <c r="M173" s="4">
        <v>69</v>
      </c>
      <c r="N173" s="4">
        <v>91</v>
      </c>
      <c r="O173" s="4">
        <v>226</v>
      </c>
      <c r="P173" s="4">
        <v>126</v>
      </c>
    </row>
    <row r="174" spans="1:16" x14ac:dyDescent="0.45">
      <c r="A174" s="54">
        <v>12</v>
      </c>
      <c r="B174" s="2" t="s">
        <v>174</v>
      </c>
      <c r="C174" s="2" t="s">
        <v>45</v>
      </c>
      <c r="D174" s="4">
        <v>4</v>
      </c>
      <c r="E174" s="4">
        <v>200</v>
      </c>
      <c r="F174" s="4">
        <v>2</v>
      </c>
      <c r="G174" s="4">
        <v>4</v>
      </c>
      <c r="H174" s="4">
        <v>1</v>
      </c>
      <c r="I174" s="4">
        <v>9</v>
      </c>
      <c r="J174" s="4">
        <v>1</v>
      </c>
      <c r="K174" s="4">
        <v>6</v>
      </c>
      <c r="L174" s="4">
        <v>2</v>
      </c>
      <c r="M174" s="4">
        <v>4</v>
      </c>
      <c r="N174" s="4">
        <v>28</v>
      </c>
      <c r="O174" s="4">
        <v>1</v>
      </c>
      <c r="P174" s="3"/>
    </row>
    <row r="175" spans="1:16" x14ac:dyDescent="0.45">
      <c r="A175" s="54">
        <v>12</v>
      </c>
      <c r="B175" s="2" t="s">
        <v>174</v>
      </c>
      <c r="C175" s="2" t="s">
        <v>46</v>
      </c>
      <c r="D175" s="4">
        <v>17</v>
      </c>
      <c r="E175" s="4">
        <v>51</v>
      </c>
      <c r="F175" s="4">
        <v>0</v>
      </c>
      <c r="G175" s="4">
        <v>200</v>
      </c>
      <c r="H175" s="4">
        <v>0</v>
      </c>
      <c r="I175" s="4">
        <v>20</v>
      </c>
      <c r="J175" s="3"/>
      <c r="K175" s="4">
        <v>1</v>
      </c>
      <c r="L175" s="3"/>
      <c r="M175" s="4">
        <v>2</v>
      </c>
      <c r="N175" s="4">
        <v>3</v>
      </c>
      <c r="O175" s="4">
        <v>0</v>
      </c>
      <c r="P175" s="3"/>
    </row>
    <row r="176" spans="1:16" x14ac:dyDescent="0.45">
      <c r="A176" s="54">
        <v>12</v>
      </c>
      <c r="B176" s="2" t="s">
        <v>174</v>
      </c>
      <c r="C176" s="2" t="s">
        <v>47</v>
      </c>
      <c r="D176" s="4">
        <v>1509</v>
      </c>
      <c r="E176" s="4">
        <v>-298</v>
      </c>
      <c r="F176" s="4">
        <v>11</v>
      </c>
      <c r="G176" s="4">
        <v>1</v>
      </c>
      <c r="H176" s="4">
        <v>243</v>
      </c>
      <c r="I176" s="4">
        <v>16</v>
      </c>
      <c r="J176" s="4">
        <v>11</v>
      </c>
      <c r="K176" s="4">
        <v>21</v>
      </c>
      <c r="L176" s="4">
        <v>24</v>
      </c>
      <c r="M176" s="4">
        <v>20</v>
      </c>
      <c r="N176" s="4">
        <v>4</v>
      </c>
      <c r="O176" s="4">
        <v>28</v>
      </c>
      <c r="P176" s="4">
        <v>9</v>
      </c>
    </row>
    <row r="177" spans="1:16" x14ac:dyDescent="0.45">
      <c r="A177" s="54">
        <v>12</v>
      </c>
      <c r="B177" s="2" t="s">
        <v>174</v>
      </c>
      <c r="C177" s="2" t="s">
        <v>48</v>
      </c>
      <c r="D177" s="4">
        <v>2</v>
      </c>
      <c r="E177" s="4">
        <v>0</v>
      </c>
      <c r="F177" s="4">
        <v>0</v>
      </c>
      <c r="G177" s="4">
        <v>3</v>
      </c>
      <c r="H177" s="3"/>
      <c r="I177" s="4">
        <v>4</v>
      </c>
      <c r="J177" s="4">
        <v>11</v>
      </c>
      <c r="K177" s="4">
        <v>1</v>
      </c>
      <c r="L177" s="4">
        <v>0</v>
      </c>
      <c r="M177" s="4">
        <v>2</v>
      </c>
      <c r="N177" s="4">
        <v>8</v>
      </c>
      <c r="O177" s="4">
        <v>0</v>
      </c>
      <c r="P177" s="4">
        <v>0</v>
      </c>
    </row>
    <row r="178" spans="1:16" x14ac:dyDescent="0.45">
      <c r="A178" s="54">
        <v>12</v>
      </c>
      <c r="B178" s="2" t="s">
        <v>174</v>
      </c>
      <c r="C178" s="2" t="s">
        <v>49</v>
      </c>
      <c r="D178" s="4">
        <v>598</v>
      </c>
      <c r="E178" s="4">
        <v>765</v>
      </c>
      <c r="F178" s="4">
        <v>295</v>
      </c>
      <c r="G178" s="4">
        <v>187</v>
      </c>
      <c r="H178" s="4">
        <v>59</v>
      </c>
      <c r="I178" s="4">
        <v>174</v>
      </c>
      <c r="J178" s="4">
        <v>329</v>
      </c>
      <c r="K178" s="4">
        <v>635</v>
      </c>
      <c r="L178" s="4">
        <v>418</v>
      </c>
      <c r="M178" s="4">
        <v>938</v>
      </c>
      <c r="N178" s="4">
        <v>590</v>
      </c>
      <c r="O178" s="4">
        <v>1100</v>
      </c>
      <c r="P178" s="4">
        <v>607</v>
      </c>
    </row>
    <row r="179" spans="1:16" x14ac:dyDescent="0.45">
      <c r="A179" s="54">
        <v>12</v>
      </c>
      <c r="B179" s="2" t="s">
        <v>174</v>
      </c>
      <c r="C179" s="2" t="s">
        <v>50</v>
      </c>
      <c r="D179" s="4">
        <v>39</v>
      </c>
      <c r="E179" s="4">
        <v>20</v>
      </c>
      <c r="F179" s="4">
        <v>10</v>
      </c>
      <c r="G179" s="4">
        <v>4</v>
      </c>
      <c r="H179" s="4">
        <v>22</v>
      </c>
      <c r="I179" s="4">
        <v>16</v>
      </c>
      <c r="J179" s="4">
        <v>20</v>
      </c>
      <c r="K179" s="4">
        <v>26</v>
      </c>
      <c r="L179" s="4">
        <v>19</v>
      </c>
      <c r="M179" s="4">
        <v>13</v>
      </c>
      <c r="N179" s="4">
        <v>50</v>
      </c>
      <c r="O179" s="4">
        <v>35</v>
      </c>
      <c r="P179" s="4">
        <v>38</v>
      </c>
    </row>
    <row r="180" spans="1:16" x14ac:dyDescent="0.45">
      <c r="A180" s="54">
        <v>13</v>
      </c>
      <c r="B180" s="2" t="s">
        <v>176</v>
      </c>
      <c r="C180" s="2" t="s">
        <v>36</v>
      </c>
      <c r="D180" s="4">
        <v>4</v>
      </c>
      <c r="E180" s="4">
        <v>16</v>
      </c>
      <c r="F180" s="4">
        <v>13</v>
      </c>
      <c r="G180" s="4">
        <v>10</v>
      </c>
      <c r="H180" s="4">
        <v>4</v>
      </c>
      <c r="I180" s="4">
        <v>5</v>
      </c>
      <c r="J180" s="4">
        <v>22</v>
      </c>
      <c r="K180" s="4">
        <v>17</v>
      </c>
      <c r="L180" s="4">
        <v>13</v>
      </c>
      <c r="M180" s="4">
        <v>16</v>
      </c>
      <c r="N180" s="4">
        <v>16</v>
      </c>
      <c r="O180" s="4">
        <v>17</v>
      </c>
      <c r="P180" s="4">
        <v>11</v>
      </c>
    </row>
    <row r="181" spans="1:16" x14ac:dyDescent="0.45">
      <c r="A181" s="54">
        <v>13</v>
      </c>
      <c r="B181" s="2" t="s">
        <v>176</v>
      </c>
      <c r="C181" s="2" t="s">
        <v>37</v>
      </c>
      <c r="D181" s="4">
        <v>8</v>
      </c>
      <c r="E181" s="4">
        <v>20</v>
      </c>
      <c r="F181" s="4">
        <v>17</v>
      </c>
      <c r="G181" s="4">
        <v>94</v>
      </c>
      <c r="H181" s="4">
        <v>13</v>
      </c>
      <c r="I181" s="4">
        <v>50</v>
      </c>
      <c r="J181" s="4">
        <v>15</v>
      </c>
      <c r="K181" s="4">
        <v>22</v>
      </c>
      <c r="L181" s="4">
        <v>8</v>
      </c>
      <c r="M181" s="4">
        <v>5</v>
      </c>
      <c r="N181" s="4">
        <v>6</v>
      </c>
      <c r="O181" s="4">
        <v>5</v>
      </c>
      <c r="P181" s="4">
        <v>-3</v>
      </c>
    </row>
    <row r="182" spans="1:16" x14ac:dyDescent="0.45">
      <c r="A182" s="54">
        <v>13</v>
      </c>
      <c r="B182" s="2" t="s">
        <v>176</v>
      </c>
      <c r="C182" s="2" t="s">
        <v>38</v>
      </c>
      <c r="D182" s="4">
        <v>80</v>
      </c>
      <c r="E182" s="4">
        <v>78</v>
      </c>
      <c r="F182" s="4">
        <v>79</v>
      </c>
      <c r="G182" s="4">
        <v>99</v>
      </c>
      <c r="H182" s="4">
        <v>61</v>
      </c>
      <c r="I182" s="4">
        <v>93</v>
      </c>
      <c r="J182" s="4">
        <v>109</v>
      </c>
      <c r="K182" s="4">
        <v>86</v>
      </c>
      <c r="L182" s="4">
        <v>50</v>
      </c>
      <c r="M182" s="4">
        <v>110</v>
      </c>
      <c r="N182" s="4">
        <v>51</v>
      </c>
      <c r="O182" s="4">
        <v>78</v>
      </c>
      <c r="P182" s="4">
        <v>38</v>
      </c>
    </row>
    <row r="183" spans="1:16" x14ac:dyDescent="0.45">
      <c r="A183" s="54">
        <v>13</v>
      </c>
      <c r="B183" s="2" t="s">
        <v>176</v>
      </c>
      <c r="C183" s="2" t="s">
        <v>39</v>
      </c>
      <c r="D183" s="4">
        <v>67</v>
      </c>
      <c r="E183" s="4">
        <v>82</v>
      </c>
      <c r="F183" s="4">
        <v>79</v>
      </c>
      <c r="G183" s="4">
        <v>106</v>
      </c>
      <c r="H183" s="4">
        <v>127</v>
      </c>
      <c r="I183" s="4">
        <v>61</v>
      </c>
      <c r="J183" s="4">
        <v>77</v>
      </c>
      <c r="K183" s="4">
        <v>73</v>
      </c>
      <c r="L183" s="4">
        <v>55</v>
      </c>
      <c r="M183" s="4">
        <v>44</v>
      </c>
      <c r="N183" s="4">
        <v>65</v>
      </c>
      <c r="O183" s="4">
        <v>121</v>
      </c>
      <c r="P183" s="4">
        <v>48</v>
      </c>
    </row>
    <row r="184" spans="1:16" x14ac:dyDescent="0.45">
      <c r="A184" s="54">
        <v>13</v>
      </c>
      <c r="B184" s="2" t="s">
        <v>176</v>
      </c>
      <c r="C184" s="2" t="s">
        <v>40</v>
      </c>
      <c r="D184" s="4">
        <v>18</v>
      </c>
      <c r="E184" s="4">
        <v>21</v>
      </c>
      <c r="F184" s="4">
        <v>8</v>
      </c>
      <c r="G184" s="4">
        <v>15</v>
      </c>
      <c r="H184" s="4">
        <v>22</v>
      </c>
      <c r="I184" s="4">
        <v>29</v>
      </c>
      <c r="J184" s="4">
        <v>16</v>
      </c>
      <c r="K184" s="4">
        <v>15</v>
      </c>
      <c r="L184" s="4">
        <v>2</v>
      </c>
      <c r="M184" s="4">
        <v>17</v>
      </c>
      <c r="N184" s="4">
        <v>18</v>
      </c>
      <c r="O184" s="4">
        <v>33</v>
      </c>
      <c r="P184" s="4">
        <v>16</v>
      </c>
    </row>
    <row r="185" spans="1:16" x14ac:dyDescent="0.45">
      <c r="A185" s="54">
        <v>13</v>
      </c>
      <c r="B185" s="2" t="s">
        <v>176</v>
      </c>
      <c r="C185" s="2" t="s">
        <v>41</v>
      </c>
      <c r="D185" s="3"/>
      <c r="E185" s="3"/>
      <c r="F185" s="4">
        <v>0</v>
      </c>
      <c r="G185" s="3"/>
      <c r="H185" s="4">
        <v>2</v>
      </c>
      <c r="I185" s="4">
        <v>2</v>
      </c>
      <c r="J185" s="3"/>
      <c r="K185" s="4">
        <v>0</v>
      </c>
      <c r="L185" s="3"/>
      <c r="M185" s="4">
        <v>4</v>
      </c>
      <c r="N185" s="4">
        <v>0</v>
      </c>
      <c r="O185" s="3"/>
      <c r="P185" s="3"/>
    </row>
    <row r="186" spans="1:16" x14ac:dyDescent="0.45">
      <c r="A186" s="54">
        <v>13</v>
      </c>
      <c r="B186" s="2" t="s">
        <v>176</v>
      </c>
      <c r="C186" s="2" t="s">
        <v>42</v>
      </c>
      <c r="D186" s="4">
        <v>31</v>
      </c>
      <c r="E186" s="4">
        <v>46</v>
      </c>
      <c r="F186" s="4">
        <v>33</v>
      </c>
      <c r="G186" s="4">
        <v>35</v>
      </c>
      <c r="H186" s="4">
        <v>17</v>
      </c>
      <c r="I186" s="4">
        <v>12</v>
      </c>
      <c r="J186" s="4">
        <v>19</v>
      </c>
      <c r="K186" s="4">
        <v>41</v>
      </c>
      <c r="L186" s="4">
        <v>31</v>
      </c>
      <c r="M186" s="4">
        <v>11</v>
      </c>
      <c r="N186" s="4">
        <v>29</v>
      </c>
      <c r="O186" s="4">
        <v>37</v>
      </c>
      <c r="P186" s="4">
        <v>16</v>
      </c>
    </row>
    <row r="187" spans="1:16" x14ac:dyDescent="0.45">
      <c r="A187" s="54">
        <v>13</v>
      </c>
      <c r="B187" s="2" t="s">
        <v>176</v>
      </c>
      <c r="C187" s="2" t="s">
        <v>43</v>
      </c>
      <c r="D187" s="4">
        <v>7</v>
      </c>
      <c r="E187" s="4">
        <v>4</v>
      </c>
      <c r="F187" s="4">
        <v>15</v>
      </c>
      <c r="G187" s="4">
        <v>16</v>
      </c>
      <c r="H187" s="4">
        <v>8</v>
      </c>
      <c r="I187" s="4">
        <v>18</v>
      </c>
      <c r="J187" s="4">
        <v>12</v>
      </c>
      <c r="K187" s="4">
        <v>10</v>
      </c>
      <c r="L187" s="4">
        <v>7</v>
      </c>
      <c r="M187" s="4">
        <v>24</v>
      </c>
      <c r="N187" s="4">
        <v>7</v>
      </c>
      <c r="O187" s="4">
        <v>17</v>
      </c>
      <c r="P187" s="4">
        <v>5</v>
      </c>
    </row>
    <row r="188" spans="1:16" x14ac:dyDescent="0.45">
      <c r="A188" s="54">
        <v>13</v>
      </c>
      <c r="B188" s="2" t="s">
        <v>176</v>
      </c>
      <c r="C188" s="2" t="s">
        <v>44</v>
      </c>
      <c r="D188" s="4">
        <v>47</v>
      </c>
      <c r="E188" s="4">
        <v>125</v>
      </c>
      <c r="F188" s="4">
        <v>33</v>
      </c>
      <c r="G188" s="4">
        <v>53</v>
      </c>
      <c r="H188" s="4">
        <v>14</v>
      </c>
      <c r="I188" s="4">
        <v>32</v>
      </c>
      <c r="J188" s="4">
        <v>31</v>
      </c>
      <c r="K188" s="4">
        <v>45</v>
      </c>
      <c r="L188" s="4">
        <v>13</v>
      </c>
      <c r="M188" s="4">
        <v>27</v>
      </c>
      <c r="N188" s="4">
        <v>20</v>
      </c>
      <c r="O188" s="4">
        <v>31</v>
      </c>
      <c r="P188" s="4">
        <v>56</v>
      </c>
    </row>
    <row r="189" spans="1:16" x14ac:dyDescent="0.45">
      <c r="A189" s="54">
        <v>13</v>
      </c>
      <c r="B189" s="2" t="s">
        <v>176</v>
      </c>
      <c r="C189" s="2" t="s">
        <v>45</v>
      </c>
      <c r="D189" s="4">
        <v>-4</v>
      </c>
      <c r="E189" s="4">
        <v>6</v>
      </c>
      <c r="F189" s="4">
        <v>3</v>
      </c>
      <c r="G189" s="4">
        <v>13</v>
      </c>
      <c r="H189" s="4">
        <v>10</v>
      </c>
      <c r="I189" s="4">
        <v>6</v>
      </c>
      <c r="J189" s="4">
        <v>5</v>
      </c>
      <c r="K189" s="4">
        <v>14</v>
      </c>
      <c r="L189" s="4">
        <v>5</v>
      </c>
      <c r="M189" s="4">
        <v>3</v>
      </c>
      <c r="N189" s="4">
        <v>11</v>
      </c>
      <c r="O189" s="4">
        <v>17</v>
      </c>
      <c r="P189" s="4">
        <v>8</v>
      </c>
    </row>
    <row r="190" spans="1:16" x14ac:dyDescent="0.45">
      <c r="A190" s="54">
        <v>13</v>
      </c>
      <c r="B190" s="2" t="s">
        <v>176</v>
      </c>
      <c r="C190" s="2" t="s">
        <v>46</v>
      </c>
      <c r="D190" s="4">
        <v>50</v>
      </c>
      <c r="E190" s="4">
        <v>28</v>
      </c>
      <c r="F190" s="4">
        <v>4</v>
      </c>
      <c r="G190" s="4">
        <v>42</v>
      </c>
      <c r="H190" s="4">
        <v>18</v>
      </c>
      <c r="I190" s="4">
        <v>3</v>
      </c>
      <c r="J190" s="4">
        <v>25</v>
      </c>
      <c r="K190" s="4">
        <v>9</v>
      </c>
      <c r="L190" s="4">
        <v>16</v>
      </c>
      <c r="M190" s="4">
        <v>8</v>
      </c>
      <c r="N190" s="4">
        <v>13</v>
      </c>
      <c r="O190" s="4">
        <v>10</v>
      </c>
      <c r="P190" s="4">
        <v>24</v>
      </c>
    </row>
    <row r="191" spans="1:16" x14ac:dyDescent="0.45">
      <c r="A191" s="54">
        <v>13</v>
      </c>
      <c r="B191" s="2" t="s">
        <v>176</v>
      </c>
      <c r="C191" s="2" t="s">
        <v>47</v>
      </c>
      <c r="D191" s="4">
        <v>25</v>
      </c>
      <c r="E191" s="4">
        <v>98</v>
      </c>
      <c r="F191" s="4">
        <v>8</v>
      </c>
      <c r="G191" s="4">
        <v>12</v>
      </c>
      <c r="H191" s="4">
        <v>42</v>
      </c>
      <c r="I191" s="4">
        <v>35</v>
      </c>
      <c r="J191" s="4">
        <v>58</v>
      </c>
      <c r="K191" s="4">
        <v>15</v>
      </c>
      <c r="L191" s="4">
        <v>22</v>
      </c>
      <c r="M191" s="4">
        <v>25</v>
      </c>
      <c r="N191" s="4">
        <v>43</v>
      </c>
      <c r="O191" s="4">
        <v>25</v>
      </c>
      <c r="P191" s="4">
        <v>39</v>
      </c>
    </row>
    <row r="192" spans="1:16" x14ac:dyDescent="0.45">
      <c r="A192" s="54">
        <v>13</v>
      </c>
      <c r="B192" s="2" t="s">
        <v>176</v>
      </c>
      <c r="C192" s="2" t="s">
        <v>48</v>
      </c>
      <c r="D192" s="4">
        <v>95</v>
      </c>
      <c r="E192" s="4">
        <v>6</v>
      </c>
      <c r="F192" s="4">
        <v>4</v>
      </c>
      <c r="G192" s="4">
        <v>2</v>
      </c>
      <c r="H192" s="4">
        <v>6</v>
      </c>
      <c r="I192" s="4">
        <v>2</v>
      </c>
      <c r="J192" s="4">
        <v>19</v>
      </c>
      <c r="K192" s="4">
        <v>4</v>
      </c>
      <c r="L192" s="4">
        <v>0</v>
      </c>
      <c r="M192" s="4">
        <v>4</v>
      </c>
      <c r="N192" s="4">
        <v>2</v>
      </c>
      <c r="O192" s="4">
        <v>6</v>
      </c>
      <c r="P192" s="4">
        <v>26</v>
      </c>
    </row>
    <row r="193" spans="1:16" x14ac:dyDescent="0.45">
      <c r="A193" s="54">
        <v>13</v>
      </c>
      <c r="B193" s="2" t="s">
        <v>176</v>
      </c>
      <c r="C193" s="2" t="s">
        <v>49</v>
      </c>
      <c r="D193" s="4">
        <v>28</v>
      </c>
      <c r="E193" s="4">
        <v>63</v>
      </c>
      <c r="F193" s="4">
        <v>45</v>
      </c>
      <c r="G193" s="4">
        <v>24</v>
      </c>
      <c r="H193" s="4">
        <v>15</v>
      </c>
      <c r="I193" s="4">
        <v>11</v>
      </c>
      <c r="J193" s="4">
        <v>58</v>
      </c>
      <c r="K193" s="4">
        <v>21</v>
      </c>
      <c r="L193" s="4">
        <v>18</v>
      </c>
      <c r="M193" s="4">
        <v>37</v>
      </c>
      <c r="N193" s="4">
        <v>32</v>
      </c>
      <c r="O193" s="4">
        <v>41</v>
      </c>
      <c r="P193" s="4">
        <v>34</v>
      </c>
    </row>
    <row r="194" spans="1:16" x14ac:dyDescent="0.45">
      <c r="A194" s="54">
        <v>13</v>
      </c>
      <c r="B194" s="2" t="s">
        <v>176</v>
      </c>
      <c r="C194" s="2" t="s">
        <v>50</v>
      </c>
      <c r="D194" s="4">
        <v>9</v>
      </c>
      <c r="E194" s="4">
        <v>13</v>
      </c>
      <c r="F194" s="4">
        <v>28</v>
      </c>
      <c r="G194" s="4">
        <v>9</v>
      </c>
      <c r="H194" s="4">
        <v>2</v>
      </c>
      <c r="I194" s="4">
        <v>8</v>
      </c>
      <c r="J194" s="4">
        <v>9</v>
      </c>
      <c r="K194" s="4">
        <v>20</v>
      </c>
      <c r="L194" s="4">
        <v>2</v>
      </c>
      <c r="M194" s="4">
        <v>6</v>
      </c>
      <c r="N194" s="4">
        <v>0</v>
      </c>
      <c r="O194" s="4">
        <v>10</v>
      </c>
      <c r="P194" s="4">
        <v>17</v>
      </c>
    </row>
    <row r="195" spans="1:16" x14ac:dyDescent="0.45">
      <c r="A195" s="54">
        <v>14</v>
      </c>
      <c r="B195" s="2" t="s">
        <v>178</v>
      </c>
      <c r="C195" s="2" t="s">
        <v>36</v>
      </c>
      <c r="D195" s="3"/>
      <c r="E195" s="3"/>
      <c r="F195" s="3"/>
      <c r="G195" s="3"/>
      <c r="H195" s="3"/>
      <c r="I195" s="3"/>
      <c r="J195" s="4">
        <v>0</v>
      </c>
      <c r="K195" s="4">
        <v>1</v>
      </c>
      <c r="L195" s="4">
        <v>9</v>
      </c>
      <c r="M195" s="4">
        <v>6</v>
      </c>
      <c r="N195" s="4">
        <v>5</v>
      </c>
      <c r="O195" s="4">
        <v>19</v>
      </c>
      <c r="P195" s="4">
        <v>0</v>
      </c>
    </row>
    <row r="196" spans="1:16" x14ac:dyDescent="0.45">
      <c r="A196" s="54">
        <v>14</v>
      </c>
      <c r="B196" s="2" t="s">
        <v>178</v>
      </c>
      <c r="C196" s="2" t="s">
        <v>37</v>
      </c>
      <c r="D196" s="3"/>
      <c r="E196" s="3"/>
      <c r="F196" s="3"/>
      <c r="G196" s="3"/>
      <c r="H196" s="3"/>
      <c r="I196" s="3"/>
      <c r="J196" s="4">
        <v>0</v>
      </c>
      <c r="K196" s="4">
        <v>5</v>
      </c>
      <c r="L196" s="4">
        <v>1</v>
      </c>
      <c r="M196" s="4">
        <v>68</v>
      </c>
      <c r="N196" s="4">
        <v>13</v>
      </c>
      <c r="O196" s="4">
        <v>9</v>
      </c>
      <c r="P196" s="4">
        <v>10</v>
      </c>
    </row>
    <row r="197" spans="1:16" x14ac:dyDescent="0.45">
      <c r="A197" s="54">
        <v>14</v>
      </c>
      <c r="B197" s="2" t="s">
        <v>178</v>
      </c>
      <c r="C197" s="2" t="s">
        <v>38</v>
      </c>
      <c r="D197" s="3"/>
      <c r="E197" s="3"/>
      <c r="F197" s="3"/>
      <c r="G197" s="3"/>
      <c r="H197" s="4">
        <v>32</v>
      </c>
      <c r="I197" s="4">
        <v>0</v>
      </c>
      <c r="J197" s="4">
        <v>14</v>
      </c>
      <c r="K197" s="4">
        <v>105</v>
      </c>
      <c r="L197" s="4">
        <v>475</v>
      </c>
      <c r="M197" s="4">
        <v>465</v>
      </c>
      <c r="N197" s="4">
        <v>12041</v>
      </c>
      <c r="O197" s="4">
        <v>1070</v>
      </c>
      <c r="P197" s="4">
        <v>118</v>
      </c>
    </row>
    <row r="198" spans="1:16" x14ac:dyDescent="0.45">
      <c r="A198" s="54">
        <v>14</v>
      </c>
      <c r="B198" s="2" t="s">
        <v>178</v>
      </c>
      <c r="C198" s="2" t="s">
        <v>39</v>
      </c>
      <c r="D198" s="3"/>
      <c r="E198" s="3"/>
      <c r="F198" s="3"/>
      <c r="G198" s="3"/>
      <c r="H198" s="3"/>
      <c r="I198" s="3"/>
      <c r="J198" s="4">
        <v>2</v>
      </c>
      <c r="K198" s="4">
        <v>231</v>
      </c>
      <c r="L198" s="4">
        <v>714</v>
      </c>
      <c r="M198" s="4">
        <v>315</v>
      </c>
      <c r="N198" s="4">
        <v>734</v>
      </c>
      <c r="O198" s="4">
        <v>807</v>
      </c>
      <c r="P198" s="4">
        <v>384</v>
      </c>
    </row>
    <row r="199" spans="1:16" x14ac:dyDescent="0.45">
      <c r="A199" s="54">
        <v>14</v>
      </c>
      <c r="B199" s="2" t="s">
        <v>178</v>
      </c>
      <c r="C199" s="2" t="s">
        <v>40</v>
      </c>
      <c r="D199" s="3"/>
      <c r="E199" s="3"/>
      <c r="F199" s="3"/>
      <c r="G199" s="3"/>
      <c r="H199" s="4">
        <v>30</v>
      </c>
      <c r="I199" s="3"/>
      <c r="J199" s="4">
        <v>1</v>
      </c>
      <c r="K199" s="4">
        <v>1</v>
      </c>
      <c r="L199" s="4">
        <v>9</v>
      </c>
      <c r="M199" s="4">
        <v>29</v>
      </c>
      <c r="N199" s="4">
        <v>3</v>
      </c>
      <c r="O199" s="4">
        <v>5</v>
      </c>
      <c r="P199" s="4">
        <v>4</v>
      </c>
    </row>
    <row r="200" spans="1:16" x14ac:dyDescent="0.45">
      <c r="A200" s="54">
        <v>14</v>
      </c>
      <c r="B200" s="2" t="s">
        <v>178</v>
      </c>
      <c r="C200" s="2" t="s">
        <v>41</v>
      </c>
      <c r="D200" s="3"/>
      <c r="E200" s="3"/>
      <c r="F200" s="3"/>
      <c r="G200" s="3"/>
      <c r="H200" s="3"/>
      <c r="I200" s="3"/>
      <c r="J200" s="3"/>
      <c r="K200" s="4">
        <v>8</v>
      </c>
      <c r="L200" s="4">
        <v>0</v>
      </c>
      <c r="M200" s="4">
        <v>0</v>
      </c>
      <c r="N200" s="4">
        <v>121</v>
      </c>
      <c r="O200" s="4">
        <v>43</v>
      </c>
      <c r="P200" s="4">
        <v>0</v>
      </c>
    </row>
    <row r="201" spans="1:16" x14ac:dyDescent="0.45">
      <c r="A201" s="54">
        <v>14</v>
      </c>
      <c r="B201" s="2" t="s">
        <v>178</v>
      </c>
      <c r="C201" s="2" t="s">
        <v>42</v>
      </c>
      <c r="D201" s="3"/>
      <c r="E201" s="3"/>
      <c r="F201" s="3"/>
      <c r="G201" s="3"/>
      <c r="H201" s="4">
        <v>4</v>
      </c>
      <c r="I201" s="4">
        <v>27</v>
      </c>
      <c r="J201" s="4">
        <v>5</v>
      </c>
      <c r="K201" s="4">
        <v>72</v>
      </c>
      <c r="L201" s="4">
        <v>162</v>
      </c>
      <c r="M201" s="4">
        <v>857</v>
      </c>
      <c r="N201" s="4">
        <v>303</v>
      </c>
      <c r="O201" s="4">
        <v>360</v>
      </c>
      <c r="P201" s="4">
        <v>380</v>
      </c>
    </row>
    <row r="202" spans="1:16" x14ac:dyDescent="0.45">
      <c r="A202" s="54">
        <v>14</v>
      </c>
      <c r="B202" s="2" t="s">
        <v>178</v>
      </c>
      <c r="C202" s="2" t="s">
        <v>43</v>
      </c>
      <c r="D202" s="3"/>
      <c r="E202" s="3"/>
      <c r="F202" s="3"/>
      <c r="G202" s="3"/>
      <c r="H202" s="3"/>
      <c r="I202" s="3"/>
      <c r="J202" s="3"/>
      <c r="K202" s="4">
        <v>0</v>
      </c>
      <c r="L202" s="4">
        <v>18</v>
      </c>
      <c r="M202" s="4">
        <v>295</v>
      </c>
      <c r="N202" s="4">
        <v>53</v>
      </c>
      <c r="O202" s="4">
        <v>3</v>
      </c>
      <c r="P202" s="4">
        <v>0</v>
      </c>
    </row>
    <row r="203" spans="1:16" x14ac:dyDescent="0.45">
      <c r="A203" s="54">
        <v>14</v>
      </c>
      <c r="B203" s="2" t="s">
        <v>178</v>
      </c>
      <c r="C203" s="2" t="s">
        <v>44</v>
      </c>
      <c r="D203" s="3"/>
      <c r="E203" s="3"/>
      <c r="F203" s="3"/>
      <c r="G203" s="3"/>
      <c r="H203" s="3"/>
      <c r="I203" s="4">
        <v>3</v>
      </c>
      <c r="J203" s="4">
        <v>3</v>
      </c>
      <c r="K203" s="4">
        <v>11</v>
      </c>
      <c r="L203" s="4">
        <v>250</v>
      </c>
      <c r="M203" s="4">
        <v>97</v>
      </c>
      <c r="N203" s="4">
        <v>322</v>
      </c>
      <c r="O203" s="4">
        <v>39</v>
      </c>
      <c r="P203" s="4">
        <v>45</v>
      </c>
    </row>
    <row r="204" spans="1:16" x14ac:dyDescent="0.45">
      <c r="A204" s="54">
        <v>14</v>
      </c>
      <c r="B204" s="2" t="s">
        <v>178</v>
      </c>
      <c r="C204" s="2" t="s">
        <v>45</v>
      </c>
      <c r="D204" s="3"/>
      <c r="E204" s="3"/>
      <c r="F204" s="3"/>
      <c r="G204" s="3"/>
      <c r="H204" s="4">
        <v>0</v>
      </c>
      <c r="I204" s="4">
        <v>0</v>
      </c>
      <c r="J204" s="4">
        <v>0</v>
      </c>
      <c r="K204" s="4">
        <v>28</v>
      </c>
      <c r="L204" s="4">
        <v>16</v>
      </c>
      <c r="M204" s="4">
        <v>46</v>
      </c>
      <c r="N204" s="4">
        <v>7</v>
      </c>
      <c r="O204" s="4">
        <v>5</v>
      </c>
      <c r="P204" s="4">
        <v>39</v>
      </c>
    </row>
    <row r="205" spans="1:16" x14ac:dyDescent="0.45">
      <c r="A205" s="54">
        <v>14</v>
      </c>
      <c r="B205" s="2" t="s">
        <v>178</v>
      </c>
      <c r="C205" s="2" t="s">
        <v>46</v>
      </c>
      <c r="D205" s="3"/>
      <c r="E205" s="3"/>
      <c r="F205" s="3"/>
      <c r="G205" s="3"/>
      <c r="H205" s="3"/>
      <c r="I205" s="4">
        <v>0</v>
      </c>
      <c r="J205" s="4">
        <v>4</v>
      </c>
      <c r="K205" s="4">
        <v>61</v>
      </c>
      <c r="L205" s="4">
        <v>412</v>
      </c>
      <c r="M205" s="4">
        <v>864</v>
      </c>
      <c r="N205" s="4">
        <v>475</v>
      </c>
      <c r="O205" s="4">
        <v>231</v>
      </c>
      <c r="P205" s="4">
        <v>705</v>
      </c>
    </row>
    <row r="206" spans="1:16" x14ac:dyDescent="0.45">
      <c r="A206" s="54">
        <v>14</v>
      </c>
      <c r="B206" s="2" t="s">
        <v>178</v>
      </c>
      <c r="C206" s="2" t="s">
        <v>47</v>
      </c>
      <c r="D206" s="3"/>
      <c r="E206" s="3"/>
      <c r="F206" s="3"/>
      <c r="G206" s="3"/>
      <c r="H206" s="3"/>
      <c r="I206" s="3"/>
      <c r="J206" s="4">
        <v>5</v>
      </c>
      <c r="K206" s="4">
        <v>0</v>
      </c>
      <c r="L206" s="4">
        <v>16</v>
      </c>
      <c r="M206" s="4">
        <v>4342</v>
      </c>
      <c r="N206" s="4">
        <v>677</v>
      </c>
      <c r="O206" s="4">
        <v>303</v>
      </c>
      <c r="P206" s="4">
        <v>164</v>
      </c>
    </row>
    <row r="207" spans="1:16" x14ac:dyDescent="0.45">
      <c r="A207" s="54">
        <v>14</v>
      </c>
      <c r="B207" s="2" t="s">
        <v>178</v>
      </c>
      <c r="C207" s="2" t="s">
        <v>48</v>
      </c>
      <c r="D207" s="3"/>
      <c r="E207" s="3"/>
      <c r="F207" s="3"/>
      <c r="G207" s="3"/>
      <c r="H207" s="3"/>
      <c r="I207" s="4">
        <v>0</v>
      </c>
      <c r="J207" s="4">
        <v>10</v>
      </c>
      <c r="K207" s="4">
        <v>0</v>
      </c>
      <c r="L207" s="4">
        <v>8</v>
      </c>
      <c r="M207" s="4">
        <v>0</v>
      </c>
      <c r="N207" s="4">
        <v>199</v>
      </c>
      <c r="O207" s="4">
        <v>228</v>
      </c>
      <c r="P207" s="4">
        <v>536</v>
      </c>
    </row>
    <row r="208" spans="1:16" x14ac:dyDescent="0.45">
      <c r="A208" s="54">
        <v>14</v>
      </c>
      <c r="B208" s="2" t="s">
        <v>178</v>
      </c>
      <c r="C208" s="2" t="s">
        <v>49</v>
      </c>
      <c r="D208" s="3"/>
      <c r="E208" s="3"/>
      <c r="F208" s="3"/>
      <c r="G208" s="3"/>
      <c r="H208" s="4">
        <v>114</v>
      </c>
      <c r="I208" s="4">
        <v>216</v>
      </c>
      <c r="J208" s="4">
        <v>252</v>
      </c>
      <c r="K208" s="4">
        <v>971</v>
      </c>
      <c r="L208" s="4">
        <v>1489</v>
      </c>
      <c r="M208" s="4">
        <v>2827</v>
      </c>
      <c r="N208" s="4">
        <v>3329</v>
      </c>
      <c r="O208" s="4">
        <v>3049</v>
      </c>
      <c r="P208" s="4">
        <v>3687</v>
      </c>
    </row>
    <row r="209" spans="1:16" x14ac:dyDescent="0.45">
      <c r="A209" s="54">
        <v>14</v>
      </c>
      <c r="B209" s="2" t="s">
        <v>178</v>
      </c>
      <c r="C209" s="2" t="s">
        <v>50</v>
      </c>
      <c r="D209" s="3"/>
      <c r="E209" s="3"/>
      <c r="F209" s="3"/>
      <c r="G209" s="3"/>
      <c r="H209" s="4">
        <v>25</v>
      </c>
      <c r="I209" s="4">
        <v>0</v>
      </c>
      <c r="J209" s="4">
        <v>19</v>
      </c>
      <c r="K209" s="4">
        <v>70</v>
      </c>
      <c r="L209" s="4">
        <v>58</v>
      </c>
      <c r="M209" s="4">
        <v>80</v>
      </c>
      <c r="N209" s="4">
        <v>154</v>
      </c>
      <c r="O209" s="4">
        <v>311</v>
      </c>
      <c r="P209" s="4">
        <v>255</v>
      </c>
    </row>
    <row r="210" spans="1:16" x14ac:dyDescent="0.45">
      <c r="A210" s="54">
        <v>15</v>
      </c>
      <c r="B210" s="2" t="s">
        <v>51</v>
      </c>
      <c r="C210" s="2" t="s">
        <v>36</v>
      </c>
      <c r="D210" s="4">
        <v>5</v>
      </c>
      <c r="E210" s="4">
        <v>13</v>
      </c>
      <c r="F210" s="4">
        <v>6</v>
      </c>
      <c r="G210" s="4">
        <v>19</v>
      </c>
      <c r="H210" s="4">
        <v>9</v>
      </c>
      <c r="I210" s="4">
        <v>266</v>
      </c>
      <c r="J210" s="4">
        <v>9</v>
      </c>
      <c r="K210" s="4">
        <v>22</v>
      </c>
      <c r="L210" s="4">
        <v>15</v>
      </c>
      <c r="M210" s="4">
        <v>13</v>
      </c>
      <c r="N210" s="4">
        <v>9</v>
      </c>
      <c r="O210" s="4">
        <v>4</v>
      </c>
      <c r="P210" s="4">
        <v>3</v>
      </c>
    </row>
    <row r="211" spans="1:16" x14ac:dyDescent="0.45">
      <c r="A211" s="54">
        <v>15</v>
      </c>
      <c r="B211" s="2" t="s">
        <v>51</v>
      </c>
      <c r="C211" s="2" t="s">
        <v>37</v>
      </c>
      <c r="D211" s="4">
        <v>3</v>
      </c>
      <c r="E211" s="4">
        <v>17</v>
      </c>
      <c r="F211" s="4">
        <v>18</v>
      </c>
      <c r="G211" s="4">
        <v>17</v>
      </c>
      <c r="H211" s="4">
        <v>22</v>
      </c>
      <c r="I211" s="4">
        <v>16</v>
      </c>
      <c r="J211" s="4">
        <v>83</v>
      </c>
      <c r="K211" s="4">
        <v>53</v>
      </c>
      <c r="L211" s="4">
        <v>29</v>
      </c>
      <c r="M211" s="4">
        <v>8</v>
      </c>
      <c r="N211" s="4">
        <v>65</v>
      </c>
      <c r="O211" s="4">
        <v>28</v>
      </c>
      <c r="P211" s="4">
        <v>11</v>
      </c>
    </row>
    <row r="212" spans="1:16" x14ac:dyDescent="0.45">
      <c r="A212" s="54">
        <v>15</v>
      </c>
      <c r="B212" s="2" t="s">
        <v>51</v>
      </c>
      <c r="C212" s="2" t="s">
        <v>38</v>
      </c>
      <c r="D212" s="4">
        <v>12</v>
      </c>
      <c r="E212" s="4">
        <v>81</v>
      </c>
      <c r="F212" s="4">
        <v>80</v>
      </c>
      <c r="G212" s="4">
        <v>165</v>
      </c>
      <c r="H212" s="4">
        <v>78</v>
      </c>
      <c r="I212" s="4">
        <v>115</v>
      </c>
      <c r="J212" s="4">
        <v>78</v>
      </c>
      <c r="K212" s="4">
        <v>102</v>
      </c>
      <c r="L212" s="4">
        <v>54</v>
      </c>
      <c r="M212" s="4">
        <v>92</v>
      </c>
      <c r="N212" s="4">
        <v>79</v>
      </c>
      <c r="O212" s="4">
        <v>126</v>
      </c>
      <c r="P212" s="4">
        <v>53</v>
      </c>
    </row>
    <row r="213" spans="1:16" x14ac:dyDescent="0.45">
      <c r="A213" s="54">
        <v>15</v>
      </c>
      <c r="B213" s="2" t="s">
        <v>51</v>
      </c>
      <c r="C213" s="2" t="s">
        <v>39</v>
      </c>
      <c r="D213" s="4">
        <v>170</v>
      </c>
      <c r="E213" s="4">
        <v>77</v>
      </c>
      <c r="F213" s="4">
        <v>419</v>
      </c>
      <c r="G213" s="4">
        <v>130</v>
      </c>
      <c r="H213" s="4">
        <v>111</v>
      </c>
      <c r="I213" s="4">
        <v>39</v>
      </c>
      <c r="J213" s="4">
        <v>235</v>
      </c>
      <c r="K213" s="4">
        <v>212</v>
      </c>
      <c r="L213" s="4">
        <v>215</v>
      </c>
      <c r="M213" s="4">
        <v>162</v>
      </c>
      <c r="N213" s="4">
        <v>95</v>
      </c>
      <c r="O213" s="4">
        <v>94</v>
      </c>
      <c r="P213" s="4">
        <v>136</v>
      </c>
    </row>
    <row r="214" spans="1:16" x14ac:dyDescent="0.45">
      <c r="A214" s="54">
        <v>15</v>
      </c>
      <c r="B214" s="2" t="s">
        <v>51</v>
      </c>
      <c r="C214" s="2" t="s">
        <v>40</v>
      </c>
      <c r="D214" s="4">
        <v>17</v>
      </c>
      <c r="E214" s="4">
        <v>23</v>
      </c>
      <c r="F214" s="4">
        <v>14</v>
      </c>
      <c r="G214" s="4">
        <v>51</v>
      </c>
      <c r="H214" s="4">
        <v>11</v>
      </c>
      <c r="I214" s="4">
        <v>23</v>
      </c>
      <c r="J214" s="4">
        <v>15</v>
      </c>
      <c r="K214" s="4">
        <v>22</v>
      </c>
      <c r="L214" s="4">
        <v>11</v>
      </c>
      <c r="M214" s="4">
        <v>12</v>
      </c>
      <c r="N214" s="4">
        <v>20</v>
      </c>
      <c r="O214" s="4">
        <v>9</v>
      </c>
      <c r="P214" s="4">
        <v>8</v>
      </c>
    </row>
    <row r="215" spans="1:16" x14ac:dyDescent="0.45">
      <c r="A215" s="54">
        <v>15</v>
      </c>
      <c r="B215" s="2" t="s">
        <v>51</v>
      </c>
      <c r="C215" s="2" t="s">
        <v>41</v>
      </c>
      <c r="D215" s="4">
        <v>2</v>
      </c>
      <c r="E215" s="4">
        <v>0</v>
      </c>
      <c r="F215" s="4">
        <v>2</v>
      </c>
      <c r="G215" s="4">
        <v>6</v>
      </c>
      <c r="H215" s="4">
        <v>3</v>
      </c>
      <c r="I215" s="4">
        <v>6</v>
      </c>
      <c r="J215" s="4">
        <v>0</v>
      </c>
      <c r="K215" s="4">
        <v>5</v>
      </c>
      <c r="L215" s="4">
        <v>0</v>
      </c>
      <c r="M215" s="3"/>
      <c r="N215" s="4">
        <v>1</v>
      </c>
      <c r="O215" s="4">
        <v>3</v>
      </c>
      <c r="P215" s="4">
        <v>1</v>
      </c>
    </row>
    <row r="216" spans="1:16" x14ac:dyDescent="0.45">
      <c r="A216" s="54">
        <v>15</v>
      </c>
      <c r="B216" s="2" t="s">
        <v>51</v>
      </c>
      <c r="C216" s="2" t="s">
        <v>42</v>
      </c>
      <c r="D216" s="4">
        <v>78</v>
      </c>
      <c r="E216" s="4">
        <v>79</v>
      </c>
      <c r="F216" s="4">
        <v>97</v>
      </c>
      <c r="G216" s="4">
        <v>114</v>
      </c>
      <c r="H216" s="4">
        <v>75</v>
      </c>
      <c r="I216" s="4">
        <v>242</v>
      </c>
      <c r="J216" s="4">
        <v>152</v>
      </c>
      <c r="K216" s="4">
        <v>84</v>
      </c>
      <c r="L216" s="4">
        <v>145</v>
      </c>
      <c r="M216" s="4">
        <v>109</v>
      </c>
      <c r="N216" s="4">
        <v>98</v>
      </c>
      <c r="O216" s="4">
        <v>181</v>
      </c>
      <c r="P216" s="4">
        <v>76</v>
      </c>
    </row>
    <row r="217" spans="1:16" x14ac:dyDescent="0.45">
      <c r="A217" s="54">
        <v>15</v>
      </c>
      <c r="B217" s="2" t="s">
        <v>51</v>
      </c>
      <c r="C217" s="2" t="s">
        <v>43</v>
      </c>
      <c r="D217" s="4">
        <v>5</v>
      </c>
      <c r="E217" s="4">
        <v>16</v>
      </c>
      <c r="F217" s="4">
        <v>14</v>
      </c>
      <c r="G217" s="4">
        <v>15</v>
      </c>
      <c r="H217" s="4">
        <v>15</v>
      </c>
      <c r="I217" s="4">
        <v>7</v>
      </c>
      <c r="J217" s="4">
        <v>16</v>
      </c>
      <c r="K217" s="4">
        <v>32</v>
      </c>
      <c r="L217" s="4">
        <v>9</v>
      </c>
      <c r="M217" s="4">
        <v>13</v>
      </c>
      <c r="N217" s="4">
        <v>5</v>
      </c>
      <c r="O217" s="4">
        <v>12</v>
      </c>
      <c r="P217" s="4">
        <v>5</v>
      </c>
    </row>
    <row r="218" spans="1:16" x14ac:dyDescent="0.45">
      <c r="A218" s="54">
        <v>15</v>
      </c>
      <c r="B218" s="2" t="s">
        <v>51</v>
      </c>
      <c r="C218" s="2" t="s">
        <v>44</v>
      </c>
      <c r="D218" s="4">
        <v>37</v>
      </c>
      <c r="E218" s="4">
        <v>34</v>
      </c>
      <c r="F218" s="4">
        <v>55</v>
      </c>
      <c r="G218" s="4">
        <v>150</v>
      </c>
      <c r="H218" s="4">
        <v>49</v>
      </c>
      <c r="I218" s="4">
        <v>69</v>
      </c>
      <c r="J218" s="4">
        <v>102</v>
      </c>
      <c r="K218" s="4">
        <v>144</v>
      </c>
      <c r="L218" s="4">
        <v>113</v>
      </c>
      <c r="M218" s="4">
        <v>72</v>
      </c>
      <c r="N218" s="4">
        <v>50</v>
      </c>
      <c r="O218" s="4">
        <v>82</v>
      </c>
      <c r="P218" s="4">
        <v>45</v>
      </c>
    </row>
    <row r="219" spans="1:16" x14ac:dyDescent="0.45">
      <c r="A219" s="54">
        <v>15</v>
      </c>
      <c r="B219" s="2" t="s">
        <v>51</v>
      </c>
      <c r="C219" s="2" t="s">
        <v>45</v>
      </c>
      <c r="D219" s="4">
        <v>10</v>
      </c>
      <c r="E219" s="4">
        <v>19</v>
      </c>
      <c r="F219" s="4">
        <v>9</v>
      </c>
      <c r="G219" s="4">
        <v>14</v>
      </c>
      <c r="H219" s="4">
        <v>13</v>
      </c>
      <c r="I219" s="4">
        <v>12</v>
      </c>
      <c r="J219" s="4">
        <v>7</v>
      </c>
      <c r="K219" s="4">
        <v>23</v>
      </c>
      <c r="L219" s="4">
        <v>12</v>
      </c>
      <c r="M219" s="4">
        <v>10</v>
      </c>
      <c r="N219" s="4">
        <v>12</v>
      </c>
      <c r="O219" s="4">
        <v>4</v>
      </c>
      <c r="P219" s="4">
        <v>4</v>
      </c>
    </row>
    <row r="220" spans="1:16" x14ac:dyDescent="0.45">
      <c r="A220" s="54">
        <v>15</v>
      </c>
      <c r="B220" s="2" t="s">
        <v>51</v>
      </c>
      <c r="C220" s="2" t="s">
        <v>46</v>
      </c>
      <c r="D220" s="4">
        <v>11</v>
      </c>
      <c r="E220" s="4">
        <v>16</v>
      </c>
      <c r="F220" s="4">
        <v>6</v>
      </c>
      <c r="G220" s="4">
        <v>5</v>
      </c>
      <c r="H220" s="4">
        <v>6</v>
      </c>
      <c r="I220" s="4">
        <v>8</v>
      </c>
      <c r="J220" s="4">
        <v>294</v>
      </c>
      <c r="K220" s="4">
        <v>18</v>
      </c>
      <c r="L220" s="4">
        <v>11</v>
      </c>
      <c r="M220" s="4">
        <v>6</v>
      </c>
      <c r="N220" s="4">
        <v>41</v>
      </c>
      <c r="O220" s="4">
        <v>15</v>
      </c>
      <c r="P220" s="4">
        <v>19</v>
      </c>
    </row>
    <row r="221" spans="1:16" x14ac:dyDescent="0.45">
      <c r="A221" s="54">
        <v>15</v>
      </c>
      <c r="B221" s="2" t="s">
        <v>51</v>
      </c>
      <c r="C221" s="2" t="s">
        <v>47</v>
      </c>
      <c r="D221" s="4">
        <v>63</v>
      </c>
      <c r="E221" s="4">
        <v>36</v>
      </c>
      <c r="F221" s="4">
        <v>23</v>
      </c>
      <c r="G221" s="4">
        <v>41</v>
      </c>
      <c r="H221" s="4">
        <v>38</v>
      </c>
      <c r="I221" s="4">
        <v>77</v>
      </c>
      <c r="J221" s="4">
        <v>69</v>
      </c>
      <c r="K221" s="4">
        <v>93</v>
      </c>
      <c r="L221" s="4">
        <v>78</v>
      </c>
      <c r="M221" s="4">
        <v>72</v>
      </c>
      <c r="N221" s="4">
        <v>38</v>
      </c>
      <c r="O221" s="4">
        <v>65</v>
      </c>
      <c r="P221" s="4">
        <v>30</v>
      </c>
    </row>
    <row r="222" spans="1:16" x14ac:dyDescent="0.45">
      <c r="A222" s="54">
        <v>15</v>
      </c>
      <c r="B222" s="2" t="s">
        <v>51</v>
      </c>
      <c r="C222" s="2" t="s">
        <v>48</v>
      </c>
      <c r="D222" s="4">
        <v>3</v>
      </c>
      <c r="E222" s="4">
        <v>9</v>
      </c>
      <c r="F222" s="4">
        <v>4</v>
      </c>
      <c r="G222" s="4">
        <v>6</v>
      </c>
      <c r="H222" s="4">
        <v>11</v>
      </c>
      <c r="I222" s="4">
        <v>4</v>
      </c>
      <c r="J222" s="4">
        <v>9</v>
      </c>
      <c r="K222" s="4">
        <v>15</v>
      </c>
      <c r="L222" s="4">
        <v>0</v>
      </c>
      <c r="M222" s="4">
        <v>6</v>
      </c>
      <c r="N222" s="4">
        <v>2</v>
      </c>
      <c r="O222" s="4">
        <v>16</v>
      </c>
      <c r="P222" s="4">
        <v>20</v>
      </c>
    </row>
    <row r="223" spans="1:16" x14ac:dyDescent="0.45">
      <c r="A223" s="54">
        <v>15</v>
      </c>
      <c r="B223" s="2" t="s">
        <v>51</v>
      </c>
      <c r="C223" s="2" t="s">
        <v>49</v>
      </c>
      <c r="D223" s="4">
        <v>122</v>
      </c>
      <c r="E223" s="4">
        <v>224</v>
      </c>
      <c r="F223" s="4">
        <v>109</v>
      </c>
      <c r="G223" s="4">
        <v>208</v>
      </c>
      <c r="H223" s="4">
        <v>144</v>
      </c>
      <c r="I223" s="4">
        <v>196</v>
      </c>
      <c r="J223" s="4">
        <v>217</v>
      </c>
      <c r="K223" s="4">
        <v>227</v>
      </c>
      <c r="L223" s="4">
        <v>159</v>
      </c>
      <c r="M223" s="4">
        <v>132</v>
      </c>
      <c r="N223" s="4">
        <v>170</v>
      </c>
      <c r="O223" s="4">
        <v>233</v>
      </c>
      <c r="P223" s="4">
        <v>181</v>
      </c>
    </row>
    <row r="224" spans="1:16" x14ac:dyDescent="0.45">
      <c r="A224" s="54">
        <v>15</v>
      </c>
      <c r="B224" s="2" t="s">
        <v>51</v>
      </c>
      <c r="C224" s="2" t="s">
        <v>50</v>
      </c>
      <c r="D224" s="4">
        <v>-36</v>
      </c>
      <c r="E224" s="4">
        <v>8</v>
      </c>
      <c r="F224" s="4">
        <v>12</v>
      </c>
      <c r="G224" s="4">
        <v>16</v>
      </c>
      <c r="H224" s="4">
        <v>30</v>
      </c>
      <c r="I224" s="4">
        <v>33</v>
      </c>
      <c r="J224" s="4">
        <v>30</v>
      </c>
      <c r="K224" s="4">
        <v>20</v>
      </c>
      <c r="L224" s="4">
        <v>11</v>
      </c>
      <c r="M224" s="4">
        <v>27</v>
      </c>
      <c r="N224" s="4">
        <v>5</v>
      </c>
      <c r="O224" s="4">
        <v>16</v>
      </c>
      <c r="P224" s="4">
        <v>8</v>
      </c>
    </row>
    <row r="225" spans="1:16" x14ac:dyDescent="0.45">
      <c r="A225" s="54">
        <v>16</v>
      </c>
      <c r="B225" s="2" t="s">
        <v>52</v>
      </c>
      <c r="C225" s="2" t="s">
        <v>36</v>
      </c>
      <c r="D225" s="4">
        <v>105</v>
      </c>
      <c r="E225" s="4">
        <v>9</v>
      </c>
      <c r="F225" s="4">
        <v>21</v>
      </c>
      <c r="G225" s="4">
        <v>21</v>
      </c>
      <c r="H225" s="4">
        <v>19</v>
      </c>
      <c r="I225" s="4">
        <v>20</v>
      </c>
      <c r="J225" s="4">
        <v>13</v>
      </c>
      <c r="K225" s="4">
        <v>16</v>
      </c>
      <c r="L225" s="4">
        <v>12</v>
      </c>
      <c r="M225" s="4">
        <v>10</v>
      </c>
      <c r="N225" s="4">
        <v>15</v>
      </c>
      <c r="O225" s="4">
        <v>14</v>
      </c>
      <c r="P225" s="4">
        <v>8</v>
      </c>
    </row>
    <row r="226" spans="1:16" x14ac:dyDescent="0.45">
      <c r="A226" s="54">
        <v>16</v>
      </c>
      <c r="B226" s="2" t="s">
        <v>52</v>
      </c>
      <c r="C226" s="2" t="s">
        <v>37</v>
      </c>
      <c r="D226" s="4">
        <v>13</v>
      </c>
      <c r="E226" s="4">
        <v>17</v>
      </c>
      <c r="F226" s="4">
        <v>11</v>
      </c>
      <c r="G226" s="4">
        <v>4</v>
      </c>
      <c r="H226" s="4">
        <v>33</v>
      </c>
      <c r="I226" s="4">
        <v>9</v>
      </c>
      <c r="J226" s="4">
        <v>26</v>
      </c>
      <c r="K226" s="4">
        <v>8</v>
      </c>
      <c r="L226" s="4">
        <v>46</v>
      </c>
      <c r="M226" s="4">
        <v>28</v>
      </c>
      <c r="N226" s="4">
        <v>24</v>
      </c>
      <c r="O226" s="4">
        <v>25</v>
      </c>
      <c r="P226" s="4">
        <v>23</v>
      </c>
    </row>
    <row r="227" spans="1:16" x14ac:dyDescent="0.45">
      <c r="A227" s="54">
        <v>16</v>
      </c>
      <c r="B227" s="2" t="s">
        <v>52</v>
      </c>
      <c r="C227" s="2" t="s">
        <v>38</v>
      </c>
      <c r="D227" s="4">
        <v>54</v>
      </c>
      <c r="E227" s="4">
        <v>36</v>
      </c>
      <c r="F227" s="4">
        <v>57</v>
      </c>
      <c r="G227" s="4">
        <v>38</v>
      </c>
      <c r="H227" s="4">
        <v>53</v>
      </c>
      <c r="I227" s="4">
        <v>59</v>
      </c>
      <c r="J227" s="4">
        <v>41</v>
      </c>
      <c r="K227" s="4">
        <v>32</v>
      </c>
      <c r="L227" s="4">
        <v>60</v>
      </c>
      <c r="M227" s="4">
        <v>64</v>
      </c>
      <c r="N227" s="4">
        <v>64</v>
      </c>
      <c r="O227" s="4">
        <v>80</v>
      </c>
      <c r="P227" s="4">
        <v>51</v>
      </c>
    </row>
    <row r="228" spans="1:16" x14ac:dyDescent="0.45">
      <c r="A228" s="54">
        <v>16</v>
      </c>
      <c r="B228" s="2" t="s">
        <v>52</v>
      </c>
      <c r="C228" s="2" t="s">
        <v>39</v>
      </c>
      <c r="D228" s="4">
        <v>111</v>
      </c>
      <c r="E228" s="4">
        <v>83</v>
      </c>
      <c r="F228" s="4">
        <v>131</v>
      </c>
      <c r="G228" s="4">
        <v>186</v>
      </c>
      <c r="H228" s="4">
        <v>119</v>
      </c>
      <c r="I228" s="4">
        <v>101</v>
      </c>
      <c r="J228" s="4">
        <v>118</v>
      </c>
      <c r="K228" s="4">
        <v>104</v>
      </c>
      <c r="L228" s="4">
        <v>113</v>
      </c>
      <c r="M228" s="4">
        <v>108</v>
      </c>
      <c r="N228" s="4">
        <v>126</v>
      </c>
      <c r="O228" s="4">
        <v>144</v>
      </c>
      <c r="P228" s="4">
        <v>118</v>
      </c>
    </row>
    <row r="229" spans="1:16" x14ac:dyDescent="0.45">
      <c r="A229" s="54">
        <v>16</v>
      </c>
      <c r="B229" s="2" t="s">
        <v>52</v>
      </c>
      <c r="C229" s="2" t="s">
        <v>40</v>
      </c>
      <c r="D229" s="4">
        <v>7</v>
      </c>
      <c r="E229" s="4">
        <v>21</v>
      </c>
      <c r="F229" s="4">
        <v>12</v>
      </c>
      <c r="G229" s="4">
        <v>35</v>
      </c>
      <c r="H229" s="4">
        <v>11</v>
      </c>
      <c r="I229" s="4">
        <v>23</v>
      </c>
      <c r="J229" s="4">
        <v>15</v>
      </c>
      <c r="K229" s="4">
        <v>23</v>
      </c>
      <c r="L229" s="4">
        <v>11</v>
      </c>
      <c r="M229" s="4">
        <v>5</v>
      </c>
      <c r="N229" s="4">
        <v>10</v>
      </c>
      <c r="O229" s="4">
        <v>10</v>
      </c>
      <c r="P229" s="4">
        <v>12</v>
      </c>
    </row>
    <row r="230" spans="1:16" x14ac:dyDescent="0.45">
      <c r="A230" s="54">
        <v>16</v>
      </c>
      <c r="B230" s="2" t="s">
        <v>52</v>
      </c>
      <c r="C230" s="2" t="s">
        <v>41</v>
      </c>
      <c r="D230" s="4">
        <v>0</v>
      </c>
      <c r="E230" s="4">
        <v>2</v>
      </c>
      <c r="F230" s="4">
        <v>0</v>
      </c>
      <c r="G230" s="3"/>
      <c r="H230" s="4">
        <v>2</v>
      </c>
      <c r="I230" s="3"/>
      <c r="J230" s="4">
        <v>6</v>
      </c>
      <c r="K230" s="4">
        <v>2</v>
      </c>
      <c r="L230" s="4">
        <v>2</v>
      </c>
      <c r="M230" s="4">
        <v>0</v>
      </c>
      <c r="N230" s="3"/>
      <c r="O230" s="4">
        <v>0</v>
      </c>
      <c r="P230" s="3"/>
    </row>
    <row r="231" spans="1:16" x14ac:dyDescent="0.45">
      <c r="A231" s="54">
        <v>16</v>
      </c>
      <c r="B231" s="2" t="s">
        <v>52</v>
      </c>
      <c r="C231" s="2" t="s">
        <v>42</v>
      </c>
      <c r="D231" s="4">
        <v>49</v>
      </c>
      <c r="E231" s="4">
        <v>77</v>
      </c>
      <c r="F231" s="4">
        <v>73</v>
      </c>
      <c r="G231" s="4">
        <v>68</v>
      </c>
      <c r="H231" s="4">
        <v>73</v>
      </c>
      <c r="I231" s="4">
        <v>68</v>
      </c>
      <c r="J231" s="4">
        <v>59</v>
      </c>
      <c r="K231" s="4">
        <v>77</v>
      </c>
      <c r="L231" s="4">
        <v>77</v>
      </c>
      <c r="M231" s="4">
        <v>101</v>
      </c>
      <c r="N231" s="4">
        <v>74</v>
      </c>
      <c r="O231" s="4">
        <v>64</v>
      </c>
      <c r="P231" s="4">
        <v>91</v>
      </c>
    </row>
    <row r="232" spans="1:16" x14ac:dyDescent="0.45">
      <c r="A232" s="54">
        <v>16</v>
      </c>
      <c r="B232" s="2" t="s">
        <v>52</v>
      </c>
      <c r="C232" s="2" t="s">
        <v>43</v>
      </c>
      <c r="D232" s="4">
        <v>9</v>
      </c>
      <c r="E232" s="4">
        <v>82</v>
      </c>
      <c r="F232" s="4">
        <v>9</v>
      </c>
      <c r="G232" s="4">
        <v>16</v>
      </c>
      <c r="H232" s="4">
        <v>6</v>
      </c>
      <c r="I232" s="4">
        <v>5</v>
      </c>
      <c r="J232" s="4">
        <v>8</v>
      </c>
      <c r="K232" s="4">
        <v>8</v>
      </c>
      <c r="L232" s="4">
        <v>4</v>
      </c>
      <c r="M232" s="4">
        <v>9</v>
      </c>
      <c r="N232" s="4">
        <v>9</v>
      </c>
      <c r="O232" s="4">
        <v>16</v>
      </c>
      <c r="P232" s="4">
        <v>2</v>
      </c>
    </row>
    <row r="233" spans="1:16" x14ac:dyDescent="0.45">
      <c r="A233" s="54">
        <v>16</v>
      </c>
      <c r="B233" s="2" t="s">
        <v>52</v>
      </c>
      <c r="C233" s="2" t="s">
        <v>44</v>
      </c>
      <c r="D233" s="4">
        <v>24</v>
      </c>
      <c r="E233" s="4">
        <v>71</v>
      </c>
      <c r="F233" s="4">
        <v>52</v>
      </c>
      <c r="G233" s="4">
        <v>77</v>
      </c>
      <c r="H233" s="4">
        <v>47</v>
      </c>
      <c r="I233" s="4">
        <v>60</v>
      </c>
      <c r="J233" s="4">
        <v>35</v>
      </c>
      <c r="K233" s="4">
        <v>51</v>
      </c>
      <c r="L233" s="4">
        <v>62</v>
      </c>
      <c r="M233" s="4">
        <v>74</v>
      </c>
      <c r="N233" s="4">
        <v>69</v>
      </c>
      <c r="O233" s="4">
        <v>102</v>
      </c>
      <c r="P233" s="4">
        <v>39</v>
      </c>
    </row>
    <row r="234" spans="1:16" x14ac:dyDescent="0.45">
      <c r="A234" s="54">
        <v>16</v>
      </c>
      <c r="B234" s="2" t="s">
        <v>52</v>
      </c>
      <c r="C234" s="2" t="s">
        <v>45</v>
      </c>
      <c r="D234" s="4">
        <v>12</v>
      </c>
      <c r="E234" s="4">
        <v>11</v>
      </c>
      <c r="F234" s="4">
        <v>14</v>
      </c>
      <c r="G234" s="4">
        <v>22</v>
      </c>
      <c r="H234" s="4">
        <v>6</v>
      </c>
      <c r="I234" s="4">
        <v>9</v>
      </c>
      <c r="J234" s="4">
        <v>11</v>
      </c>
      <c r="K234" s="4">
        <v>7</v>
      </c>
      <c r="L234" s="4">
        <v>8</v>
      </c>
      <c r="M234" s="4">
        <v>6</v>
      </c>
      <c r="N234" s="4">
        <v>10</v>
      </c>
      <c r="O234" s="4">
        <v>5</v>
      </c>
      <c r="P234" s="4">
        <v>6</v>
      </c>
    </row>
    <row r="235" spans="1:16" x14ac:dyDescent="0.45">
      <c r="A235" s="54">
        <v>16</v>
      </c>
      <c r="B235" s="2" t="s">
        <v>52</v>
      </c>
      <c r="C235" s="2" t="s">
        <v>46</v>
      </c>
      <c r="D235" s="4">
        <v>10</v>
      </c>
      <c r="E235" s="4">
        <v>10</v>
      </c>
      <c r="F235" s="4">
        <v>8</v>
      </c>
      <c r="G235" s="4">
        <v>17</v>
      </c>
      <c r="H235" s="4">
        <v>21</v>
      </c>
      <c r="I235" s="4">
        <v>16</v>
      </c>
      <c r="J235" s="4">
        <v>4</v>
      </c>
      <c r="K235" s="4">
        <v>21</v>
      </c>
      <c r="L235" s="4">
        <v>26</v>
      </c>
      <c r="M235" s="4">
        <v>30</v>
      </c>
      <c r="N235" s="4">
        <v>40</v>
      </c>
      <c r="O235" s="4">
        <v>17</v>
      </c>
      <c r="P235" s="4">
        <v>15</v>
      </c>
    </row>
    <row r="236" spans="1:16" x14ac:dyDescent="0.45">
      <c r="A236" s="54">
        <v>16</v>
      </c>
      <c r="B236" s="2" t="s">
        <v>52</v>
      </c>
      <c r="C236" s="2" t="s">
        <v>47</v>
      </c>
      <c r="D236" s="4">
        <v>24</v>
      </c>
      <c r="E236" s="4">
        <v>19</v>
      </c>
      <c r="F236" s="4">
        <v>40</v>
      </c>
      <c r="G236" s="4">
        <v>45</v>
      </c>
      <c r="H236" s="4">
        <v>4</v>
      </c>
      <c r="I236" s="4">
        <v>9</v>
      </c>
      <c r="J236" s="4">
        <v>48</v>
      </c>
      <c r="K236" s="4">
        <v>26</v>
      </c>
      <c r="L236" s="4">
        <v>34</v>
      </c>
      <c r="M236" s="4">
        <v>56</v>
      </c>
      <c r="N236" s="4">
        <v>35</v>
      </c>
      <c r="O236" s="4">
        <v>47</v>
      </c>
      <c r="P236" s="4">
        <v>31</v>
      </c>
    </row>
    <row r="237" spans="1:16" x14ac:dyDescent="0.45">
      <c r="A237" s="54">
        <v>16</v>
      </c>
      <c r="B237" s="2" t="s">
        <v>52</v>
      </c>
      <c r="C237" s="2" t="s">
        <v>48</v>
      </c>
      <c r="D237" s="4">
        <v>3</v>
      </c>
      <c r="E237" s="4">
        <v>8</v>
      </c>
      <c r="F237" s="4">
        <v>11</v>
      </c>
      <c r="G237" s="4">
        <v>8</v>
      </c>
      <c r="H237" s="4">
        <v>8</v>
      </c>
      <c r="I237" s="4">
        <v>10</v>
      </c>
      <c r="J237" s="4">
        <v>8</v>
      </c>
      <c r="K237" s="4">
        <v>5</v>
      </c>
      <c r="L237" s="4">
        <v>4</v>
      </c>
      <c r="M237" s="4">
        <v>0</v>
      </c>
      <c r="N237" s="3"/>
      <c r="O237" s="4">
        <v>8</v>
      </c>
      <c r="P237" s="4">
        <v>2</v>
      </c>
    </row>
    <row r="238" spans="1:16" x14ac:dyDescent="0.45">
      <c r="A238" s="54">
        <v>16</v>
      </c>
      <c r="B238" s="2" t="s">
        <v>52</v>
      </c>
      <c r="C238" s="2" t="s">
        <v>49</v>
      </c>
      <c r="D238" s="4">
        <v>146</v>
      </c>
      <c r="E238" s="4">
        <v>137</v>
      </c>
      <c r="F238" s="4">
        <v>85</v>
      </c>
      <c r="G238" s="4">
        <v>118</v>
      </c>
      <c r="H238" s="4">
        <v>139</v>
      </c>
      <c r="I238" s="4">
        <v>113</v>
      </c>
      <c r="J238" s="4">
        <v>110</v>
      </c>
      <c r="K238" s="4">
        <v>83</v>
      </c>
      <c r="L238" s="4">
        <v>120</v>
      </c>
      <c r="M238" s="4">
        <v>128</v>
      </c>
      <c r="N238" s="4">
        <v>71</v>
      </c>
      <c r="O238" s="4">
        <v>96</v>
      </c>
      <c r="P238" s="4">
        <v>114</v>
      </c>
    </row>
    <row r="239" spans="1:16" x14ac:dyDescent="0.45">
      <c r="A239" s="54">
        <v>16</v>
      </c>
      <c r="B239" s="2" t="s">
        <v>52</v>
      </c>
      <c r="C239" s="2" t="s">
        <v>50</v>
      </c>
      <c r="D239" s="4">
        <v>-2</v>
      </c>
      <c r="E239" s="4">
        <v>27</v>
      </c>
      <c r="F239" s="4">
        <v>12</v>
      </c>
      <c r="G239" s="4">
        <v>7</v>
      </c>
      <c r="H239" s="4">
        <v>14</v>
      </c>
      <c r="I239" s="4">
        <v>9</v>
      </c>
      <c r="J239" s="4">
        <v>17</v>
      </c>
      <c r="K239" s="4">
        <v>77</v>
      </c>
      <c r="L239" s="4">
        <v>24</v>
      </c>
      <c r="M239" s="4">
        <v>26</v>
      </c>
      <c r="N239" s="4">
        <v>23</v>
      </c>
      <c r="O239" s="4">
        <v>30</v>
      </c>
      <c r="P239" s="4">
        <v>9</v>
      </c>
    </row>
    <row r="240" spans="1:16" x14ac:dyDescent="0.45">
      <c r="A240" s="54">
        <v>17</v>
      </c>
      <c r="B240" s="2" t="s">
        <v>182</v>
      </c>
      <c r="C240" s="2" t="s">
        <v>36</v>
      </c>
      <c r="D240" s="3"/>
      <c r="E240" s="3"/>
      <c r="F240" s="3"/>
      <c r="G240" s="4">
        <v>1</v>
      </c>
      <c r="H240" s="3"/>
      <c r="I240" s="4">
        <v>0</v>
      </c>
      <c r="J240" s="3"/>
      <c r="K240" s="3"/>
      <c r="L240" s="3"/>
      <c r="M240" s="4">
        <v>1</v>
      </c>
      <c r="N240" s="4">
        <v>0</v>
      </c>
      <c r="O240" s="3"/>
      <c r="P240" s="3"/>
    </row>
    <row r="241" spans="1:16" x14ac:dyDescent="0.45">
      <c r="A241" s="54">
        <v>17</v>
      </c>
      <c r="B241" s="2" t="s">
        <v>182</v>
      </c>
      <c r="C241" s="2" t="s">
        <v>37</v>
      </c>
      <c r="D241" s="3"/>
      <c r="E241" s="3"/>
      <c r="F241" s="3"/>
      <c r="G241" s="4">
        <v>85</v>
      </c>
      <c r="H241" s="4">
        <v>4</v>
      </c>
      <c r="I241" s="4">
        <v>27</v>
      </c>
      <c r="J241" s="4">
        <v>105</v>
      </c>
      <c r="K241" s="4">
        <v>133</v>
      </c>
      <c r="L241" s="4">
        <v>19</v>
      </c>
      <c r="M241" s="4">
        <v>94</v>
      </c>
      <c r="N241" s="4">
        <v>375</v>
      </c>
      <c r="O241" s="4">
        <v>315</v>
      </c>
      <c r="P241" s="4">
        <v>159</v>
      </c>
    </row>
    <row r="242" spans="1:16" x14ac:dyDescent="0.45">
      <c r="A242" s="54">
        <v>17</v>
      </c>
      <c r="B242" s="2" t="s">
        <v>182</v>
      </c>
      <c r="C242" s="2" t="s">
        <v>38</v>
      </c>
      <c r="D242" s="3"/>
      <c r="E242" s="3"/>
      <c r="F242" s="3"/>
      <c r="G242" s="4">
        <v>29</v>
      </c>
      <c r="H242" s="4">
        <v>10</v>
      </c>
      <c r="I242" s="4">
        <v>10</v>
      </c>
      <c r="J242" s="4">
        <v>11</v>
      </c>
      <c r="K242" s="4">
        <v>28</v>
      </c>
      <c r="L242" s="4">
        <v>10</v>
      </c>
      <c r="M242" s="4">
        <v>177</v>
      </c>
      <c r="N242" s="4">
        <v>70</v>
      </c>
      <c r="O242" s="4">
        <v>39</v>
      </c>
      <c r="P242" s="4">
        <v>20</v>
      </c>
    </row>
    <row r="243" spans="1:16" x14ac:dyDescent="0.45">
      <c r="A243" s="54">
        <v>17</v>
      </c>
      <c r="B243" s="2" t="s">
        <v>182</v>
      </c>
      <c r="C243" s="2" t="s">
        <v>39</v>
      </c>
      <c r="D243" s="3"/>
      <c r="E243" s="3"/>
      <c r="F243" s="3"/>
      <c r="G243" s="4">
        <v>1</v>
      </c>
      <c r="H243" s="4">
        <v>11</v>
      </c>
      <c r="I243" s="4">
        <v>61</v>
      </c>
      <c r="J243" s="4">
        <v>68</v>
      </c>
      <c r="K243" s="4">
        <v>13</v>
      </c>
      <c r="L243" s="4">
        <v>37</v>
      </c>
      <c r="M243" s="4">
        <v>57</v>
      </c>
      <c r="N243" s="4">
        <v>32</v>
      </c>
      <c r="O243" s="4">
        <v>41</v>
      </c>
      <c r="P243" s="4">
        <v>25</v>
      </c>
    </row>
    <row r="244" spans="1:16" x14ac:dyDescent="0.45">
      <c r="A244" s="54">
        <v>17</v>
      </c>
      <c r="B244" s="2" t="s">
        <v>182</v>
      </c>
      <c r="C244" s="2" t="s">
        <v>40</v>
      </c>
      <c r="D244" s="3"/>
      <c r="E244" s="3"/>
      <c r="F244" s="3"/>
      <c r="G244" s="3"/>
      <c r="H244" s="3"/>
      <c r="I244" s="3"/>
      <c r="J244" s="4">
        <v>0</v>
      </c>
      <c r="K244" s="3"/>
      <c r="L244" s="3"/>
      <c r="M244" s="3"/>
      <c r="N244" s="3"/>
      <c r="O244" s="3"/>
      <c r="P244" s="3"/>
    </row>
    <row r="245" spans="1:16" x14ac:dyDescent="0.45">
      <c r="A245" s="54">
        <v>17</v>
      </c>
      <c r="B245" s="2" t="s">
        <v>182</v>
      </c>
      <c r="C245" s="2" t="s">
        <v>42</v>
      </c>
      <c r="D245" s="3"/>
      <c r="E245" s="3"/>
      <c r="F245" s="3"/>
      <c r="G245" s="4">
        <v>5</v>
      </c>
      <c r="H245" s="4">
        <v>16</v>
      </c>
      <c r="I245" s="4">
        <v>39</v>
      </c>
      <c r="J245" s="4">
        <v>90</v>
      </c>
      <c r="K245" s="4">
        <v>386</v>
      </c>
      <c r="L245" s="4">
        <v>197</v>
      </c>
      <c r="M245" s="4">
        <v>134</v>
      </c>
      <c r="N245" s="4">
        <v>228</v>
      </c>
      <c r="O245" s="4">
        <v>200</v>
      </c>
      <c r="P245" s="4">
        <v>194</v>
      </c>
    </row>
    <row r="246" spans="1:16" x14ac:dyDescent="0.45">
      <c r="A246" s="54">
        <v>17</v>
      </c>
      <c r="B246" s="2" t="s">
        <v>182</v>
      </c>
      <c r="C246" s="2" t="s">
        <v>43</v>
      </c>
      <c r="D246" s="3"/>
      <c r="E246" s="3"/>
      <c r="F246" s="3"/>
      <c r="G246" s="3"/>
      <c r="H246" s="3"/>
      <c r="I246" s="3"/>
      <c r="J246" s="3"/>
      <c r="K246" s="4">
        <v>2</v>
      </c>
      <c r="L246" s="4">
        <v>20</v>
      </c>
      <c r="M246" s="4">
        <v>5</v>
      </c>
      <c r="N246" s="4">
        <v>1</v>
      </c>
      <c r="O246" s="4">
        <v>3</v>
      </c>
      <c r="P246" s="4">
        <v>1</v>
      </c>
    </row>
    <row r="247" spans="1:16" x14ac:dyDescent="0.45">
      <c r="A247" s="54">
        <v>17</v>
      </c>
      <c r="B247" s="2" t="s">
        <v>182</v>
      </c>
      <c r="C247" s="2" t="s">
        <v>44</v>
      </c>
      <c r="D247" s="3"/>
      <c r="E247" s="3"/>
      <c r="F247" s="3"/>
      <c r="G247" s="3"/>
      <c r="H247" s="4">
        <v>40</v>
      </c>
      <c r="I247" s="4">
        <v>5</v>
      </c>
      <c r="J247" s="4">
        <v>10</v>
      </c>
      <c r="K247" s="4">
        <v>22</v>
      </c>
      <c r="L247" s="4">
        <v>44</v>
      </c>
      <c r="M247" s="4">
        <v>8</v>
      </c>
      <c r="N247" s="4">
        <v>47</v>
      </c>
      <c r="O247" s="4">
        <v>69</v>
      </c>
      <c r="P247" s="4">
        <v>49</v>
      </c>
    </row>
    <row r="248" spans="1:16" x14ac:dyDescent="0.45">
      <c r="A248" s="54">
        <v>17</v>
      </c>
      <c r="B248" s="2" t="s">
        <v>182</v>
      </c>
      <c r="C248" s="2" t="s">
        <v>45</v>
      </c>
      <c r="D248" s="3"/>
      <c r="E248" s="3"/>
      <c r="F248" s="3"/>
      <c r="G248" s="4">
        <v>12</v>
      </c>
      <c r="H248" s="4">
        <v>6</v>
      </c>
      <c r="I248" s="4">
        <v>0</v>
      </c>
      <c r="J248" s="3"/>
      <c r="K248" s="4">
        <v>16</v>
      </c>
      <c r="L248" s="4">
        <v>9</v>
      </c>
      <c r="M248" s="4">
        <v>8</v>
      </c>
      <c r="N248" s="4">
        <v>17</v>
      </c>
      <c r="O248" s="4">
        <v>6</v>
      </c>
      <c r="P248" s="4">
        <v>3</v>
      </c>
    </row>
    <row r="249" spans="1:16" x14ac:dyDescent="0.45">
      <c r="A249" s="54">
        <v>17</v>
      </c>
      <c r="B249" s="2" t="s">
        <v>182</v>
      </c>
      <c r="C249" s="2" t="s">
        <v>46</v>
      </c>
      <c r="D249" s="3"/>
      <c r="E249" s="3"/>
      <c r="F249" s="3"/>
      <c r="G249" s="3"/>
      <c r="H249" s="4">
        <v>1</v>
      </c>
      <c r="I249" s="3"/>
      <c r="J249" s="3"/>
      <c r="K249" s="3"/>
      <c r="L249" s="4">
        <v>4</v>
      </c>
      <c r="M249" s="4">
        <v>0</v>
      </c>
      <c r="N249" s="4">
        <v>1</v>
      </c>
      <c r="O249" s="3"/>
      <c r="P249" s="3"/>
    </row>
    <row r="250" spans="1:16" x14ac:dyDescent="0.45">
      <c r="A250" s="54">
        <v>17</v>
      </c>
      <c r="B250" s="2" t="s">
        <v>182</v>
      </c>
      <c r="C250" s="2" t="s">
        <v>47</v>
      </c>
      <c r="D250" s="3"/>
      <c r="E250" s="3"/>
      <c r="F250" s="3"/>
      <c r="G250" s="3"/>
      <c r="H250" s="4">
        <v>26</v>
      </c>
      <c r="I250" s="3"/>
      <c r="J250" s="4">
        <v>13</v>
      </c>
      <c r="K250" s="4">
        <v>3</v>
      </c>
      <c r="L250" s="4">
        <v>7</v>
      </c>
      <c r="M250" s="4">
        <v>8</v>
      </c>
      <c r="N250" s="4">
        <v>5</v>
      </c>
      <c r="O250" s="4">
        <v>7</v>
      </c>
      <c r="P250" s="4">
        <v>68</v>
      </c>
    </row>
    <row r="251" spans="1:16" x14ac:dyDescent="0.45">
      <c r="A251" s="54">
        <v>17</v>
      </c>
      <c r="B251" s="2" t="s">
        <v>182</v>
      </c>
      <c r="C251" s="2" t="s">
        <v>48</v>
      </c>
      <c r="D251" s="3"/>
      <c r="E251" s="3"/>
      <c r="F251" s="3"/>
      <c r="G251" s="3"/>
      <c r="H251" s="4">
        <v>1</v>
      </c>
      <c r="I251" s="4">
        <v>0</v>
      </c>
      <c r="J251" s="4">
        <v>1</v>
      </c>
      <c r="K251" s="3"/>
      <c r="L251" s="4">
        <v>4</v>
      </c>
      <c r="M251" s="3"/>
      <c r="N251" s="3"/>
      <c r="O251" s="4">
        <v>5</v>
      </c>
      <c r="P251" s="4">
        <v>0</v>
      </c>
    </row>
    <row r="252" spans="1:16" x14ac:dyDescent="0.45">
      <c r="A252" s="54">
        <v>17</v>
      </c>
      <c r="B252" s="2" t="s">
        <v>182</v>
      </c>
      <c r="C252" s="2" t="s">
        <v>49</v>
      </c>
      <c r="D252" s="3"/>
      <c r="E252" s="3"/>
      <c r="F252" s="3"/>
      <c r="G252" s="3"/>
      <c r="H252" s="3"/>
      <c r="I252" s="4">
        <v>38</v>
      </c>
      <c r="J252" s="4">
        <v>42</v>
      </c>
      <c r="K252" s="4">
        <v>30</v>
      </c>
      <c r="L252" s="4">
        <v>386</v>
      </c>
      <c r="M252" s="4">
        <v>388</v>
      </c>
      <c r="N252" s="4">
        <v>85</v>
      </c>
      <c r="O252" s="4">
        <v>288</v>
      </c>
      <c r="P252" s="4">
        <v>84</v>
      </c>
    </row>
    <row r="253" spans="1:16" x14ac:dyDescent="0.45">
      <c r="A253" s="54">
        <v>17</v>
      </c>
      <c r="B253" s="2" t="s">
        <v>182</v>
      </c>
      <c r="C253" s="2" t="s">
        <v>50</v>
      </c>
      <c r="D253" s="3"/>
      <c r="E253" s="3"/>
      <c r="F253" s="3"/>
      <c r="G253" s="3"/>
      <c r="H253" s="3"/>
      <c r="I253" s="4">
        <v>2</v>
      </c>
      <c r="J253" s="4">
        <v>0</v>
      </c>
      <c r="K253" s="3"/>
      <c r="L253" s="4">
        <v>4</v>
      </c>
      <c r="M253" s="4">
        <v>20</v>
      </c>
      <c r="N253" s="4">
        <v>20</v>
      </c>
      <c r="O253" s="4">
        <v>9</v>
      </c>
      <c r="P253" s="4">
        <v>18</v>
      </c>
    </row>
    <row r="254" spans="1:16" x14ac:dyDescent="0.45">
      <c r="A254" s="54">
        <v>18</v>
      </c>
      <c r="B254" s="2" t="s">
        <v>184</v>
      </c>
      <c r="C254" s="2" t="s">
        <v>36</v>
      </c>
      <c r="D254" s="4">
        <v>0</v>
      </c>
      <c r="E254" s="4">
        <v>4</v>
      </c>
      <c r="F254" s="4">
        <v>11</v>
      </c>
      <c r="G254" s="4">
        <v>8</v>
      </c>
      <c r="H254" s="4">
        <v>6</v>
      </c>
      <c r="I254" s="4">
        <v>2</v>
      </c>
      <c r="J254" s="4">
        <v>5</v>
      </c>
      <c r="K254" s="4">
        <v>22</v>
      </c>
      <c r="L254" s="4">
        <v>2</v>
      </c>
      <c r="M254" s="4">
        <v>1</v>
      </c>
      <c r="N254" s="4">
        <v>1</v>
      </c>
      <c r="O254" s="4">
        <v>14</v>
      </c>
      <c r="P254" s="4">
        <v>1</v>
      </c>
    </row>
    <row r="255" spans="1:16" x14ac:dyDescent="0.45">
      <c r="A255" s="54">
        <v>18</v>
      </c>
      <c r="B255" s="2" t="s">
        <v>184</v>
      </c>
      <c r="C255" s="2" t="s">
        <v>37</v>
      </c>
      <c r="D255" s="4">
        <v>0</v>
      </c>
      <c r="E255" s="3"/>
      <c r="F255" s="4">
        <v>0</v>
      </c>
      <c r="G255" s="4">
        <v>94</v>
      </c>
      <c r="H255" s="4">
        <v>2</v>
      </c>
      <c r="I255" s="4">
        <v>10</v>
      </c>
      <c r="J255" s="4">
        <v>6</v>
      </c>
      <c r="K255" s="4">
        <v>0</v>
      </c>
      <c r="L255" s="3"/>
      <c r="M255" s="3"/>
      <c r="N255" s="4">
        <v>12</v>
      </c>
      <c r="O255" s="4">
        <v>0</v>
      </c>
      <c r="P255" s="4">
        <v>0</v>
      </c>
    </row>
    <row r="256" spans="1:16" x14ac:dyDescent="0.45">
      <c r="A256" s="54">
        <v>18</v>
      </c>
      <c r="B256" s="2" t="s">
        <v>184</v>
      </c>
      <c r="C256" s="2" t="s">
        <v>38</v>
      </c>
      <c r="D256" s="4">
        <v>1</v>
      </c>
      <c r="E256" s="4">
        <v>9</v>
      </c>
      <c r="F256" s="4">
        <v>16</v>
      </c>
      <c r="G256" s="4">
        <v>16</v>
      </c>
      <c r="H256" s="4">
        <v>12</v>
      </c>
      <c r="I256" s="4">
        <v>22</v>
      </c>
      <c r="J256" s="4">
        <v>8</v>
      </c>
      <c r="K256" s="4">
        <v>26</v>
      </c>
      <c r="L256" s="4">
        <v>22</v>
      </c>
      <c r="M256" s="4">
        <v>24</v>
      </c>
      <c r="N256" s="4">
        <v>26</v>
      </c>
      <c r="O256" s="4">
        <v>29</v>
      </c>
      <c r="P256" s="4">
        <v>5</v>
      </c>
    </row>
    <row r="257" spans="1:16" x14ac:dyDescent="0.45">
      <c r="A257" s="54">
        <v>18</v>
      </c>
      <c r="B257" s="2" t="s">
        <v>184</v>
      </c>
      <c r="C257" s="2" t="s">
        <v>39</v>
      </c>
      <c r="D257" s="4">
        <v>16</v>
      </c>
      <c r="E257" s="4">
        <v>18</v>
      </c>
      <c r="F257" s="4">
        <v>14</v>
      </c>
      <c r="G257" s="4">
        <v>6</v>
      </c>
      <c r="H257" s="4">
        <v>10</v>
      </c>
      <c r="I257" s="4">
        <v>14</v>
      </c>
      <c r="J257" s="4">
        <v>23</v>
      </c>
      <c r="K257" s="4">
        <v>58</v>
      </c>
      <c r="L257" s="4">
        <v>25</v>
      </c>
      <c r="M257" s="4">
        <v>36</v>
      </c>
      <c r="N257" s="4">
        <v>17</v>
      </c>
      <c r="O257" s="4">
        <v>38</v>
      </c>
      <c r="P257" s="4">
        <v>36</v>
      </c>
    </row>
    <row r="258" spans="1:16" x14ac:dyDescent="0.45">
      <c r="A258" s="54">
        <v>18</v>
      </c>
      <c r="B258" s="2" t="s">
        <v>184</v>
      </c>
      <c r="C258" s="2" t="s">
        <v>40</v>
      </c>
      <c r="D258" s="3"/>
      <c r="E258" s="4">
        <v>2</v>
      </c>
      <c r="F258" s="4">
        <v>5</v>
      </c>
      <c r="G258" s="4">
        <v>2</v>
      </c>
      <c r="H258" s="4">
        <v>14</v>
      </c>
      <c r="I258" s="3"/>
      <c r="J258" s="3"/>
      <c r="K258" s="4">
        <v>8</v>
      </c>
      <c r="L258" s="4">
        <v>5</v>
      </c>
      <c r="M258" s="4">
        <v>28</v>
      </c>
      <c r="N258" s="4">
        <v>0</v>
      </c>
      <c r="O258" s="4">
        <v>6</v>
      </c>
      <c r="P258" s="4">
        <v>0</v>
      </c>
    </row>
    <row r="259" spans="1:16" x14ac:dyDescent="0.45">
      <c r="A259" s="54">
        <v>18</v>
      </c>
      <c r="B259" s="2" t="s">
        <v>184</v>
      </c>
      <c r="C259" s="2" t="s">
        <v>42</v>
      </c>
      <c r="D259" s="4">
        <v>5</v>
      </c>
      <c r="E259" s="4">
        <v>6</v>
      </c>
      <c r="F259" s="4">
        <v>3</v>
      </c>
      <c r="G259" s="4">
        <v>11</v>
      </c>
      <c r="H259" s="4">
        <v>19</v>
      </c>
      <c r="I259" s="4">
        <v>2</v>
      </c>
      <c r="J259" s="4">
        <v>26</v>
      </c>
      <c r="K259" s="4">
        <v>27</v>
      </c>
      <c r="L259" s="4">
        <v>17</v>
      </c>
      <c r="M259" s="4">
        <v>27</v>
      </c>
      <c r="N259" s="4">
        <v>20</v>
      </c>
      <c r="O259" s="4">
        <v>12</v>
      </c>
      <c r="P259" s="4">
        <v>48</v>
      </c>
    </row>
    <row r="260" spans="1:16" x14ac:dyDescent="0.45">
      <c r="A260" s="54">
        <v>18</v>
      </c>
      <c r="B260" s="2" t="s">
        <v>184</v>
      </c>
      <c r="C260" s="2" t="s">
        <v>43</v>
      </c>
      <c r="D260" s="3"/>
      <c r="E260" s="4">
        <v>0</v>
      </c>
      <c r="F260" s="3"/>
      <c r="G260" s="4">
        <v>2</v>
      </c>
      <c r="H260" s="3"/>
      <c r="I260" s="4">
        <v>1</v>
      </c>
      <c r="J260" s="4">
        <v>2</v>
      </c>
      <c r="K260" s="4">
        <v>2</v>
      </c>
      <c r="L260" s="4">
        <v>6</v>
      </c>
      <c r="M260" s="3"/>
      <c r="N260" s="4">
        <v>4</v>
      </c>
      <c r="O260" s="4">
        <v>10</v>
      </c>
      <c r="P260" s="4">
        <v>2</v>
      </c>
    </row>
    <row r="261" spans="1:16" x14ac:dyDescent="0.45">
      <c r="A261" s="54">
        <v>18</v>
      </c>
      <c r="B261" s="2" t="s">
        <v>184</v>
      </c>
      <c r="C261" s="2" t="s">
        <v>44</v>
      </c>
      <c r="D261" s="4">
        <v>4</v>
      </c>
      <c r="E261" s="4">
        <v>0</v>
      </c>
      <c r="F261" s="4">
        <v>9</v>
      </c>
      <c r="G261" s="4">
        <v>8</v>
      </c>
      <c r="H261" s="4">
        <v>4</v>
      </c>
      <c r="I261" s="4">
        <v>10</v>
      </c>
      <c r="J261" s="4">
        <v>2</v>
      </c>
      <c r="K261" s="4">
        <v>4</v>
      </c>
      <c r="L261" s="4">
        <v>22</v>
      </c>
      <c r="M261" s="4">
        <v>16</v>
      </c>
      <c r="N261" s="4">
        <v>0</v>
      </c>
      <c r="O261" s="4">
        <v>2</v>
      </c>
      <c r="P261" s="4">
        <v>12</v>
      </c>
    </row>
    <row r="262" spans="1:16" x14ac:dyDescent="0.45">
      <c r="A262" s="54">
        <v>18</v>
      </c>
      <c r="B262" s="2" t="s">
        <v>184</v>
      </c>
      <c r="C262" s="2" t="s">
        <v>45</v>
      </c>
      <c r="D262" s="4">
        <v>39</v>
      </c>
      <c r="E262" s="4">
        <v>0</v>
      </c>
      <c r="F262" s="4">
        <v>0</v>
      </c>
      <c r="G262" s="4">
        <v>6</v>
      </c>
      <c r="H262" s="4">
        <v>0</v>
      </c>
      <c r="I262" s="4">
        <v>8</v>
      </c>
      <c r="J262" s="4">
        <v>6</v>
      </c>
      <c r="K262" s="4">
        <v>4</v>
      </c>
      <c r="L262" s="4">
        <v>2</v>
      </c>
      <c r="M262" s="4">
        <v>2</v>
      </c>
      <c r="N262" s="3"/>
      <c r="O262" s="4">
        <v>4</v>
      </c>
      <c r="P262" s="4">
        <v>4</v>
      </c>
    </row>
    <row r="263" spans="1:16" x14ac:dyDescent="0.45">
      <c r="A263" s="54">
        <v>18</v>
      </c>
      <c r="B263" s="2" t="s">
        <v>184</v>
      </c>
      <c r="C263" s="2" t="s">
        <v>46</v>
      </c>
      <c r="D263" s="4">
        <v>7</v>
      </c>
      <c r="E263" s="4">
        <v>0</v>
      </c>
      <c r="F263" s="4">
        <v>2</v>
      </c>
      <c r="G263" s="3"/>
      <c r="H263" s="4">
        <v>1</v>
      </c>
      <c r="I263" s="4">
        <v>5</v>
      </c>
      <c r="J263" s="4">
        <v>5</v>
      </c>
      <c r="K263" s="4">
        <v>2</v>
      </c>
      <c r="L263" s="4">
        <v>6</v>
      </c>
      <c r="M263" s="3"/>
      <c r="N263" s="3"/>
      <c r="O263" s="4">
        <v>2</v>
      </c>
      <c r="P263" s="4">
        <v>4</v>
      </c>
    </row>
    <row r="264" spans="1:16" x14ac:dyDescent="0.45">
      <c r="A264" s="54">
        <v>18</v>
      </c>
      <c r="B264" s="2" t="s">
        <v>184</v>
      </c>
      <c r="C264" s="2" t="s">
        <v>47</v>
      </c>
      <c r="D264" s="4">
        <v>2</v>
      </c>
      <c r="E264" s="4">
        <v>0</v>
      </c>
      <c r="F264" s="4">
        <v>2</v>
      </c>
      <c r="G264" s="4">
        <v>10</v>
      </c>
      <c r="H264" s="4">
        <v>10</v>
      </c>
      <c r="I264" s="4">
        <v>2</v>
      </c>
      <c r="J264" s="4">
        <v>14</v>
      </c>
      <c r="K264" s="4">
        <v>21</v>
      </c>
      <c r="L264" s="4">
        <v>4</v>
      </c>
      <c r="M264" s="4">
        <v>16</v>
      </c>
      <c r="N264" s="4">
        <v>6</v>
      </c>
      <c r="O264" s="4">
        <v>10</v>
      </c>
      <c r="P264" s="4">
        <v>8</v>
      </c>
    </row>
    <row r="265" spans="1:16" x14ac:dyDescent="0.45">
      <c r="A265" s="54">
        <v>18</v>
      </c>
      <c r="B265" s="2" t="s">
        <v>184</v>
      </c>
      <c r="C265" s="2" t="s">
        <v>48</v>
      </c>
      <c r="D265" s="3"/>
      <c r="E265" s="4">
        <v>4</v>
      </c>
      <c r="F265" s="4">
        <v>0</v>
      </c>
      <c r="G265" s="4">
        <v>2</v>
      </c>
      <c r="H265" s="4">
        <v>1</v>
      </c>
      <c r="I265" s="4">
        <v>4</v>
      </c>
      <c r="J265" s="3"/>
      <c r="K265" s="3"/>
      <c r="L265" s="3"/>
      <c r="M265" s="3"/>
      <c r="N265" s="4">
        <v>6</v>
      </c>
      <c r="O265" s="3"/>
      <c r="P265" s="3"/>
    </row>
    <row r="266" spans="1:16" x14ac:dyDescent="0.45">
      <c r="A266" s="54">
        <v>18</v>
      </c>
      <c r="B266" s="2" t="s">
        <v>184</v>
      </c>
      <c r="C266" s="2" t="s">
        <v>49</v>
      </c>
      <c r="D266" s="4">
        <v>1</v>
      </c>
      <c r="E266" s="4">
        <v>3</v>
      </c>
      <c r="F266" s="4">
        <v>10</v>
      </c>
      <c r="G266" s="4">
        <v>8</v>
      </c>
      <c r="H266" s="4">
        <v>12</v>
      </c>
      <c r="I266" s="4">
        <v>11</v>
      </c>
      <c r="J266" s="4">
        <v>8</v>
      </c>
      <c r="K266" s="4">
        <v>7</v>
      </c>
      <c r="L266" s="4">
        <v>5</v>
      </c>
      <c r="M266" s="4">
        <v>17</v>
      </c>
      <c r="N266" s="4">
        <v>10</v>
      </c>
      <c r="O266" s="4">
        <v>7</v>
      </c>
      <c r="P266" s="4">
        <v>10</v>
      </c>
    </row>
    <row r="267" spans="1:16" x14ac:dyDescent="0.45">
      <c r="A267" s="54">
        <v>18</v>
      </c>
      <c r="B267" s="2" t="s">
        <v>184</v>
      </c>
      <c r="C267" s="2" t="s">
        <v>50</v>
      </c>
      <c r="D267" s="4">
        <v>2</v>
      </c>
      <c r="E267" s="4">
        <v>0</v>
      </c>
      <c r="F267" s="3"/>
      <c r="G267" s="3"/>
      <c r="H267" s="4">
        <v>1</v>
      </c>
      <c r="I267" s="4">
        <v>2</v>
      </c>
      <c r="J267" s="4">
        <v>4</v>
      </c>
      <c r="K267" s="4">
        <v>9</v>
      </c>
      <c r="L267" s="4">
        <v>1</v>
      </c>
      <c r="M267" s="4">
        <v>0</v>
      </c>
      <c r="N267" s="3"/>
      <c r="O267" s="4">
        <v>2</v>
      </c>
      <c r="P267" s="3"/>
    </row>
    <row r="268" spans="1:16" x14ac:dyDescent="0.45">
      <c r="A268" s="54">
        <v>19</v>
      </c>
      <c r="B268" s="2" t="s">
        <v>7</v>
      </c>
      <c r="C268" s="2" t="s">
        <v>36</v>
      </c>
      <c r="D268" s="4">
        <v>9</v>
      </c>
      <c r="E268" s="3"/>
      <c r="F268" s="4">
        <v>0</v>
      </c>
      <c r="G268" s="4">
        <v>2</v>
      </c>
      <c r="H268" s="4">
        <v>1</v>
      </c>
      <c r="I268" s="4">
        <v>73</v>
      </c>
      <c r="J268" s="4">
        <v>2</v>
      </c>
      <c r="K268" s="4">
        <v>2</v>
      </c>
      <c r="L268" s="4">
        <v>0</v>
      </c>
      <c r="M268" s="4">
        <v>0</v>
      </c>
      <c r="N268" s="4">
        <v>2</v>
      </c>
      <c r="O268" s="4">
        <v>1</v>
      </c>
      <c r="P268" s="4">
        <v>0</v>
      </c>
    </row>
    <row r="269" spans="1:16" x14ac:dyDescent="0.45">
      <c r="A269" s="54">
        <v>19</v>
      </c>
      <c r="B269" s="2" t="s">
        <v>7</v>
      </c>
      <c r="C269" s="2" t="s">
        <v>37</v>
      </c>
      <c r="D269" s="4">
        <v>1</v>
      </c>
      <c r="E269" s="4">
        <v>0</v>
      </c>
      <c r="F269" s="4">
        <v>5</v>
      </c>
      <c r="G269" s="4">
        <v>0</v>
      </c>
      <c r="H269" s="4">
        <v>2</v>
      </c>
      <c r="I269" s="4">
        <v>29</v>
      </c>
      <c r="J269" s="4">
        <v>96</v>
      </c>
      <c r="K269" s="4">
        <v>0</v>
      </c>
      <c r="L269" s="4">
        <v>7</v>
      </c>
      <c r="M269" s="4">
        <v>3</v>
      </c>
      <c r="N269" s="4">
        <v>53</v>
      </c>
      <c r="O269" s="4">
        <v>18</v>
      </c>
      <c r="P269" s="4">
        <v>19</v>
      </c>
    </row>
    <row r="270" spans="1:16" x14ac:dyDescent="0.45">
      <c r="A270" s="54">
        <v>19</v>
      </c>
      <c r="B270" s="2" t="s">
        <v>7</v>
      </c>
      <c r="C270" s="2" t="s">
        <v>38</v>
      </c>
      <c r="D270" s="4">
        <v>202</v>
      </c>
      <c r="E270" s="4">
        <v>2218</v>
      </c>
      <c r="F270" s="4">
        <v>855</v>
      </c>
      <c r="G270" s="4">
        <v>290</v>
      </c>
      <c r="H270" s="4">
        <v>193</v>
      </c>
      <c r="I270" s="4">
        <v>2354</v>
      </c>
      <c r="J270" s="4">
        <v>636</v>
      </c>
      <c r="K270" s="4">
        <v>1581</v>
      </c>
      <c r="L270" s="4">
        <v>630</v>
      </c>
      <c r="M270" s="4">
        <v>439</v>
      </c>
      <c r="N270" s="4">
        <v>507</v>
      </c>
      <c r="O270" s="4">
        <v>167</v>
      </c>
      <c r="P270" s="4">
        <v>545</v>
      </c>
    </row>
    <row r="271" spans="1:16" x14ac:dyDescent="0.45">
      <c r="A271" s="54">
        <v>19</v>
      </c>
      <c r="B271" s="2" t="s">
        <v>7</v>
      </c>
      <c r="C271" s="2" t="s">
        <v>39</v>
      </c>
      <c r="D271" s="4">
        <v>684</v>
      </c>
      <c r="E271" s="4">
        <v>619</v>
      </c>
      <c r="F271" s="4">
        <v>70</v>
      </c>
      <c r="G271" s="4">
        <v>34</v>
      </c>
      <c r="H271" s="4">
        <v>95</v>
      </c>
      <c r="I271" s="4">
        <v>44</v>
      </c>
      <c r="J271" s="4">
        <v>372</v>
      </c>
      <c r="K271" s="4">
        <v>316</v>
      </c>
      <c r="L271" s="4">
        <v>375</v>
      </c>
      <c r="M271" s="4">
        <v>237</v>
      </c>
      <c r="N271" s="4">
        <v>12</v>
      </c>
      <c r="O271" s="4">
        <v>149</v>
      </c>
      <c r="P271" s="4">
        <v>64</v>
      </c>
    </row>
    <row r="272" spans="1:16" x14ac:dyDescent="0.45">
      <c r="A272" s="54">
        <v>19</v>
      </c>
      <c r="B272" s="2" t="s">
        <v>7</v>
      </c>
      <c r="C272" s="2" t="s">
        <v>40</v>
      </c>
      <c r="D272" s="4">
        <v>6</v>
      </c>
      <c r="E272" s="4">
        <v>12</v>
      </c>
      <c r="F272" s="4">
        <v>0</v>
      </c>
      <c r="G272" s="4">
        <v>20</v>
      </c>
      <c r="H272" s="4">
        <v>9</v>
      </c>
      <c r="I272" s="4">
        <v>3</v>
      </c>
      <c r="J272" s="4">
        <v>0</v>
      </c>
      <c r="K272" s="4">
        <v>0</v>
      </c>
      <c r="L272" s="4">
        <v>5</v>
      </c>
      <c r="M272" s="4">
        <v>1</v>
      </c>
      <c r="N272" s="3"/>
      <c r="O272" s="4">
        <v>0</v>
      </c>
      <c r="P272" s="4">
        <v>0</v>
      </c>
    </row>
    <row r="273" spans="1:16" x14ac:dyDescent="0.45">
      <c r="A273" s="54">
        <v>19</v>
      </c>
      <c r="B273" s="2" t="s">
        <v>7</v>
      </c>
      <c r="C273" s="2" t="s">
        <v>41</v>
      </c>
      <c r="D273" s="3"/>
      <c r="E273" s="3"/>
      <c r="F273" s="3"/>
      <c r="G273" s="4">
        <v>1</v>
      </c>
      <c r="H273" s="4">
        <v>6</v>
      </c>
      <c r="I273" s="3"/>
      <c r="J273" s="3"/>
      <c r="K273" s="3"/>
      <c r="L273" s="3"/>
      <c r="M273" s="3"/>
      <c r="N273" s="3"/>
      <c r="O273" s="3"/>
      <c r="P273" s="3"/>
    </row>
    <row r="274" spans="1:16" x14ac:dyDescent="0.45">
      <c r="A274" s="54">
        <v>19</v>
      </c>
      <c r="B274" s="2" t="s">
        <v>7</v>
      </c>
      <c r="C274" s="2" t="s">
        <v>42</v>
      </c>
      <c r="D274" s="4">
        <v>0</v>
      </c>
      <c r="E274" s="4">
        <v>11</v>
      </c>
      <c r="F274" s="4">
        <v>5</v>
      </c>
      <c r="G274" s="4">
        <v>24</v>
      </c>
      <c r="H274" s="4">
        <v>3</v>
      </c>
      <c r="I274" s="4">
        <v>14</v>
      </c>
      <c r="J274" s="4">
        <v>2</v>
      </c>
      <c r="K274" s="4">
        <v>9</v>
      </c>
      <c r="L274" s="4">
        <v>9</v>
      </c>
      <c r="M274" s="4">
        <v>2</v>
      </c>
      <c r="N274" s="4">
        <v>1</v>
      </c>
      <c r="O274" s="4">
        <v>1</v>
      </c>
      <c r="P274" s="4">
        <v>0</v>
      </c>
    </row>
    <row r="275" spans="1:16" x14ac:dyDescent="0.45">
      <c r="A275" s="54">
        <v>19</v>
      </c>
      <c r="B275" s="2" t="s">
        <v>7</v>
      </c>
      <c r="C275" s="2" t="s">
        <v>43</v>
      </c>
      <c r="D275" s="4">
        <v>4</v>
      </c>
      <c r="E275" s="4">
        <v>99</v>
      </c>
      <c r="F275" s="4">
        <v>3</v>
      </c>
      <c r="G275" s="4">
        <v>0.99999999999999989</v>
      </c>
      <c r="H275" s="4">
        <v>1</v>
      </c>
      <c r="I275" s="4">
        <v>10</v>
      </c>
      <c r="J275" s="4">
        <v>2</v>
      </c>
      <c r="K275" s="4">
        <v>329</v>
      </c>
      <c r="L275" s="4">
        <v>216</v>
      </c>
      <c r="M275" s="4">
        <v>19</v>
      </c>
      <c r="N275" s="4">
        <v>2</v>
      </c>
      <c r="O275" s="3"/>
      <c r="P275" s="4">
        <v>1</v>
      </c>
    </row>
    <row r="276" spans="1:16" x14ac:dyDescent="0.45">
      <c r="A276" s="54">
        <v>19</v>
      </c>
      <c r="B276" s="2" t="s">
        <v>7</v>
      </c>
      <c r="C276" s="2" t="s">
        <v>44</v>
      </c>
      <c r="D276" s="4">
        <v>1414</v>
      </c>
      <c r="E276" s="4">
        <v>990</v>
      </c>
      <c r="F276" s="4">
        <v>41</v>
      </c>
      <c r="G276" s="4">
        <v>29</v>
      </c>
      <c r="H276" s="4">
        <v>25</v>
      </c>
      <c r="I276" s="4">
        <v>36</v>
      </c>
      <c r="J276" s="4">
        <v>57</v>
      </c>
      <c r="K276" s="4">
        <v>778</v>
      </c>
      <c r="L276" s="4">
        <v>1090</v>
      </c>
      <c r="M276" s="4">
        <v>9</v>
      </c>
      <c r="N276" s="4">
        <v>3</v>
      </c>
      <c r="O276" s="4">
        <v>6</v>
      </c>
      <c r="P276" s="4">
        <v>11</v>
      </c>
    </row>
    <row r="277" spans="1:16" x14ac:dyDescent="0.45">
      <c r="A277" s="54">
        <v>19</v>
      </c>
      <c r="B277" s="2" t="s">
        <v>7</v>
      </c>
      <c r="C277" s="2" t="s">
        <v>45</v>
      </c>
      <c r="D277" s="4">
        <v>9</v>
      </c>
      <c r="E277" s="4">
        <v>1</v>
      </c>
      <c r="F277" s="4">
        <v>76</v>
      </c>
      <c r="G277" s="4">
        <v>3</v>
      </c>
      <c r="H277" s="4">
        <v>32</v>
      </c>
      <c r="I277" s="4">
        <v>3</v>
      </c>
      <c r="J277" s="4">
        <v>15</v>
      </c>
      <c r="K277" s="4">
        <v>20</v>
      </c>
      <c r="L277" s="4">
        <v>4</v>
      </c>
      <c r="M277" s="4">
        <v>31</v>
      </c>
      <c r="N277" s="4">
        <v>7</v>
      </c>
      <c r="O277" s="4">
        <v>8</v>
      </c>
      <c r="P277" s="4">
        <v>3</v>
      </c>
    </row>
    <row r="278" spans="1:16" x14ac:dyDescent="0.45">
      <c r="A278" s="54">
        <v>19</v>
      </c>
      <c r="B278" s="2" t="s">
        <v>7</v>
      </c>
      <c r="C278" s="2" t="s">
        <v>46</v>
      </c>
      <c r="D278" s="4">
        <v>561</v>
      </c>
      <c r="E278" s="4">
        <v>1079</v>
      </c>
      <c r="F278" s="4">
        <v>252</v>
      </c>
      <c r="G278" s="4">
        <v>592</v>
      </c>
      <c r="H278" s="4">
        <v>3370</v>
      </c>
      <c r="I278" s="4">
        <v>908</v>
      </c>
      <c r="J278" s="4">
        <v>522</v>
      </c>
      <c r="K278" s="4">
        <v>628</v>
      </c>
      <c r="L278" s="4">
        <v>12095</v>
      </c>
      <c r="M278" s="4">
        <v>2023</v>
      </c>
      <c r="N278" s="4">
        <v>291</v>
      </c>
      <c r="O278" s="4">
        <v>106</v>
      </c>
      <c r="P278" s="4">
        <v>199</v>
      </c>
    </row>
    <row r="279" spans="1:16" x14ac:dyDescent="0.45">
      <c r="A279" s="54">
        <v>19</v>
      </c>
      <c r="B279" s="2" t="s">
        <v>7</v>
      </c>
      <c r="C279" s="2" t="s">
        <v>47</v>
      </c>
      <c r="D279" s="4">
        <v>35</v>
      </c>
      <c r="E279" s="4">
        <v>9</v>
      </c>
      <c r="F279" s="4">
        <v>38</v>
      </c>
      <c r="G279" s="4">
        <v>9</v>
      </c>
      <c r="H279" s="4">
        <v>23</v>
      </c>
      <c r="I279" s="4">
        <v>55</v>
      </c>
      <c r="J279" s="4">
        <v>109</v>
      </c>
      <c r="K279" s="4">
        <v>272</v>
      </c>
      <c r="L279" s="4">
        <v>110</v>
      </c>
      <c r="M279" s="4">
        <v>19</v>
      </c>
      <c r="N279" s="4">
        <v>77</v>
      </c>
      <c r="O279" s="4">
        <v>191</v>
      </c>
      <c r="P279" s="4">
        <v>5</v>
      </c>
    </row>
    <row r="280" spans="1:16" x14ac:dyDescent="0.45">
      <c r="A280" s="54">
        <v>19</v>
      </c>
      <c r="B280" s="2" t="s">
        <v>7</v>
      </c>
      <c r="C280" s="2" t="s">
        <v>48</v>
      </c>
      <c r="D280" s="4">
        <v>0</v>
      </c>
      <c r="E280" s="4">
        <v>419</v>
      </c>
      <c r="F280" s="4">
        <v>8</v>
      </c>
      <c r="G280" s="4">
        <v>1621</v>
      </c>
      <c r="H280" s="4">
        <v>60</v>
      </c>
      <c r="I280" s="4">
        <v>38</v>
      </c>
      <c r="J280" s="4">
        <v>41</v>
      </c>
      <c r="K280" s="4">
        <v>35</v>
      </c>
      <c r="L280" s="4">
        <v>106</v>
      </c>
      <c r="M280" s="4">
        <v>39</v>
      </c>
      <c r="N280" s="4">
        <v>166</v>
      </c>
      <c r="O280" s="4">
        <v>65</v>
      </c>
      <c r="P280" s="4">
        <v>43</v>
      </c>
    </row>
    <row r="281" spans="1:16" x14ac:dyDescent="0.45">
      <c r="A281" s="54">
        <v>19</v>
      </c>
      <c r="B281" s="2" t="s">
        <v>7</v>
      </c>
      <c r="C281" s="2" t="s">
        <v>49</v>
      </c>
      <c r="D281" s="4">
        <v>7347</v>
      </c>
      <c r="E281" s="4">
        <v>10110</v>
      </c>
      <c r="F281" s="4">
        <v>-156</v>
      </c>
      <c r="G281" s="4">
        <v>763</v>
      </c>
      <c r="H281" s="4">
        <v>1705</v>
      </c>
      <c r="I281" s="4">
        <v>1695</v>
      </c>
      <c r="J281" s="4">
        <v>4205</v>
      </c>
      <c r="K281" s="4">
        <v>2790</v>
      </c>
      <c r="L281" s="4">
        <v>2030</v>
      </c>
      <c r="M281" s="4">
        <v>892</v>
      </c>
      <c r="N281" s="4">
        <v>2523</v>
      </c>
      <c r="O281" s="4">
        <v>2138</v>
      </c>
      <c r="P281" s="4">
        <v>855</v>
      </c>
    </row>
    <row r="282" spans="1:16" x14ac:dyDescent="0.45">
      <c r="A282" s="54">
        <v>19</v>
      </c>
      <c r="B282" s="2" t="s">
        <v>7</v>
      </c>
      <c r="C282" s="2" t="s">
        <v>50</v>
      </c>
      <c r="D282" s="4">
        <v>101</v>
      </c>
      <c r="E282" s="4">
        <v>203</v>
      </c>
      <c r="F282" s="4">
        <v>2</v>
      </c>
      <c r="G282" s="4">
        <v>6</v>
      </c>
      <c r="H282" s="4">
        <v>51</v>
      </c>
      <c r="I282" s="4">
        <v>10</v>
      </c>
      <c r="J282" s="4">
        <v>26</v>
      </c>
      <c r="K282" s="4">
        <v>1</v>
      </c>
      <c r="L282" s="4">
        <v>20</v>
      </c>
      <c r="M282" s="4">
        <v>4</v>
      </c>
      <c r="N282" s="4">
        <v>10</v>
      </c>
      <c r="O282" s="4">
        <v>0</v>
      </c>
      <c r="P282" s="4">
        <v>0</v>
      </c>
    </row>
    <row r="283" spans="1:16" x14ac:dyDescent="0.45">
      <c r="A283" s="54">
        <v>20</v>
      </c>
      <c r="B283" s="2" t="s">
        <v>187</v>
      </c>
      <c r="C283" s="2" t="s">
        <v>36</v>
      </c>
      <c r="D283" s="3"/>
      <c r="E283" s="3"/>
      <c r="F283" s="3"/>
      <c r="G283" s="3"/>
      <c r="H283" s="3"/>
      <c r="I283" s="3"/>
      <c r="J283" s="4">
        <v>1</v>
      </c>
      <c r="K283" s="4">
        <v>0</v>
      </c>
      <c r="L283" s="3"/>
      <c r="M283" s="3"/>
      <c r="N283" s="4">
        <v>20</v>
      </c>
      <c r="O283" s="4">
        <v>0</v>
      </c>
      <c r="P283" s="4">
        <v>0</v>
      </c>
    </row>
    <row r="284" spans="1:16" x14ac:dyDescent="0.45">
      <c r="A284" s="54">
        <v>20</v>
      </c>
      <c r="B284" s="2" t="s">
        <v>187</v>
      </c>
      <c r="C284" s="2" t="s">
        <v>37</v>
      </c>
      <c r="D284" s="3"/>
      <c r="E284" s="3"/>
      <c r="F284" s="4">
        <v>10</v>
      </c>
      <c r="G284" s="4">
        <v>1</v>
      </c>
      <c r="H284" s="4">
        <v>41</v>
      </c>
      <c r="I284" s="4">
        <v>3</v>
      </c>
      <c r="J284" s="4">
        <v>4</v>
      </c>
      <c r="K284" s="4">
        <v>19</v>
      </c>
      <c r="L284" s="4">
        <v>4</v>
      </c>
      <c r="M284" s="3"/>
      <c r="N284" s="4">
        <v>2</v>
      </c>
      <c r="O284" s="4">
        <v>40</v>
      </c>
      <c r="P284" s="4">
        <v>36</v>
      </c>
    </row>
    <row r="285" spans="1:16" x14ac:dyDescent="0.45">
      <c r="A285" s="54">
        <v>20</v>
      </c>
      <c r="B285" s="2" t="s">
        <v>187</v>
      </c>
      <c r="C285" s="2" t="s">
        <v>38</v>
      </c>
      <c r="D285" s="4">
        <v>1</v>
      </c>
      <c r="E285" s="4">
        <v>250</v>
      </c>
      <c r="F285" s="4">
        <v>8050</v>
      </c>
      <c r="G285" s="4">
        <v>104</v>
      </c>
      <c r="H285" s="4">
        <v>401</v>
      </c>
      <c r="I285" s="4">
        <v>2</v>
      </c>
      <c r="J285" s="4">
        <v>-496</v>
      </c>
      <c r="K285" s="4">
        <v>26</v>
      </c>
      <c r="L285" s="4">
        <v>26</v>
      </c>
      <c r="M285" s="4">
        <v>34</v>
      </c>
      <c r="N285" s="4">
        <v>497</v>
      </c>
      <c r="O285" s="4">
        <v>636</v>
      </c>
      <c r="P285" s="4">
        <v>330</v>
      </c>
    </row>
    <row r="286" spans="1:16" x14ac:dyDescent="0.45">
      <c r="A286" s="54">
        <v>20</v>
      </c>
      <c r="B286" s="2" t="s">
        <v>187</v>
      </c>
      <c r="C286" s="2" t="s">
        <v>39</v>
      </c>
      <c r="D286" s="4">
        <v>20</v>
      </c>
      <c r="E286" s="4">
        <v>156</v>
      </c>
      <c r="F286" s="4">
        <v>5</v>
      </c>
      <c r="G286" s="4">
        <v>25</v>
      </c>
      <c r="H286" s="4">
        <v>9</v>
      </c>
      <c r="I286" s="4">
        <v>1046</v>
      </c>
      <c r="J286" s="4">
        <v>1071</v>
      </c>
      <c r="K286" s="4">
        <v>143</v>
      </c>
      <c r="L286" s="4">
        <v>351</v>
      </c>
      <c r="M286" s="4">
        <v>955</v>
      </c>
      <c r="N286" s="4">
        <v>34</v>
      </c>
      <c r="O286" s="4">
        <v>507</v>
      </c>
      <c r="P286" s="4">
        <v>114</v>
      </c>
    </row>
    <row r="287" spans="1:16" x14ac:dyDescent="0.45">
      <c r="A287" s="54">
        <v>20</v>
      </c>
      <c r="B287" s="2" t="s">
        <v>187</v>
      </c>
      <c r="C287" s="2" t="s">
        <v>40</v>
      </c>
      <c r="D287" s="3"/>
      <c r="E287" s="3"/>
      <c r="F287" s="3"/>
      <c r="G287" s="4">
        <v>0</v>
      </c>
      <c r="H287" s="3"/>
      <c r="I287" s="3"/>
      <c r="J287" s="4">
        <v>2</v>
      </c>
      <c r="K287" s="3"/>
      <c r="L287" s="3"/>
      <c r="M287" s="3"/>
      <c r="N287" s="4">
        <v>0</v>
      </c>
      <c r="O287" s="4">
        <v>0</v>
      </c>
      <c r="P287" s="4">
        <v>1</v>
      </c>
    </row>
    <row r="288" spans="1:16" x14ac:dyDescent="0.45">
      <c r="A288" s="54">
        <v>20</v>
      </c>
      <c r="B288" s="2" t="s">
        <v>187</v>
      </c>
      <c r="C288" s="2" t="s">
        <v>42</v>
      </c>
      <c r="D288" s="3"/>
      <c r="E288" s="3"/>
      <c r="F288" s="4">
        <v>500</v>
      </c>
      <c r="G288" s="4">
        <v>5</v>
      </c>
      <c r="H288" s="4">
        <v>2</v>
      </c>
      <c r="I288" s="4">
        <v>1</v>
      </c>
      <c r="J288" s="4">
        <v>3</v>
      </c>
      <c r="K288" s="4">
        <v>87</v>
      </c>
      <c r="L288" s="4">
        <v>1</v>
      </c>
      <c r="M288" s="4">
        <v>4</v>
      </c>
      <c r="N288" s="3"/>
      <c r="O288" s="4">
        <v>2</v>
      </c>
      <c r="P288" s="4">
        <v>0</v>
      </c>
    </row>
    <row r="289" spans="1:16" x14ac:dyDescent="0.45">
      <c r="A289" s="54">
        <v>20</v>
      </c>
      <c r="B289" s="2" t="s">
        <v>187</v>
      </c>
      <c r="C289" s="2" t="s">
        <v>43</v>
      </c>
      <c r="D289" s="3"/>
      <c r="E289" s="4">
        <v>1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45">
      <c r="A290" s="54">
        <v>20</v>
      </c>
      <c r="B290" s="2" t="s">
        <v>187</v>
      </c>
      <c r="C290" s="2" t="s">
        <v>44</v>
      </c>
      <c r="D290" s="3"/>
      <c r="E290" s="4">
        <v>2514</v>
      </c>
      <c r="F290" s="4">
        <v>10</v>
      </c>
      <c r="G290" s="4">
        <v>3008</v>
      </c>
      <c r="H290" s="4">
        <v>1</v>
      </c>
      <c r="I290" s="4">
        <v>8</v>
      </c>
      <c r="J290" s="4">
        <v>4</v>
      </c>
      <c r="K290" s="4">
        <v>10</v>
      </c>
      <c r="L290" s="4">
        <v>4</v>
      </c>
      <c r="M290" s="4">
        <v>6</v>
      </c>
      <c r="N290" s="4">
        <v>9</v>
      </c>
      <c r="O290" s="4">
        <v>36</v>
      </c>
      <c r="P290" s="4">
        <v>74</v>
      </c>
    </row>
    <row r="291" spans="1:16" x14ac:dyDescent="0.45">
      <c r="A291" s="54">
        <v>20</v>
      </c>
      <c r="B291" s="2" t="s">
        <v>187</v>
      </c>
      <c r="C291" s="2" t="s">
        <v>45</v>
      </c>
      <c r="D291" s="3"/>
      <c r="E291" s="3"/>
      <c r="F291" s="3"/>
      <c r="G291" s="4">
        <v>30</v>
      </c>
      <c r="H291" s="4">
        <v>6</v>
      </c>
      <c r="I291" s="4">
        <v>31</v>
      </c>
      <c r="J291" s="4">
        <v>14</v>
      </c>
      <c r="K291" s="4">
        <v>87</v>
      </c>
      <c r="L291" s="4">
        <v>0</v>
      </c>
      <c r="M291" s="4">
        <v>2</v>
      </c>
      <c r="N291" s="4">
        <v>22</v>
      </c>
      <c r="O291" s="4">
        <v>4</v>
      </c>
      <c r="P291" s="4">
        <v>12</v>
      </c>
    </row>
    <row r="292" spans="1:16" x14ac:dyDescent="0.45">
      <c r="A292" s="54">
        <v>20</v>
      </c>
      <c r="B292" s="2" t="s">
        <v>187</v>
      </c>
      <c r="C292" s="2" t="s">
        <v>46</v>
      </c>
      <c r="D292" s="3"/>
      <c r="E292" s="3"/>
      <c r="F292" s="4">
        <v>6</v>
      </c>
      <c r="G292" s="4">
        <v>803</v>
      </c>
      <c r="H292" s="4">
        <v>174</v>
      </c>
      <c r="I292" s="4">
        <v>226</v>
      </c>
      <c r="J292" s="4">
        <v>51</v>
      </c>
      <c r="K292" s="4">
        <v>425</v>
      </c>
      <c r="L292" s="4">
        <v>0</v>
      </c>
      <c r="M292" s="4">
        <v>3</v>
      </c>
      <c r="N292" s="4">
        <v>3</v>
      </c>
      <c r="O292" s="4">
        <v>180</v>
      </c>
      <c r="P292" s="4">
        <v>139</v>
      </c>
    </row>
    <row r="293" spans="1:16" x14ac:dyDescent="0.45">
      <c r="A293" s="54">
        <v>20</v>
      </c>
      <c r="B293" s="2" t="s">
        <v>187</v>
      </c>
      <c r="C293" s="2" t="s">
        <v>47</v>
      </c>
      <c r="D293" s="3"/>
      <c r="E293" s="3"/>
      <c r="F293" s="4">
        <v>3</v>
      </c>
      <c r="G293" s="4">
        <v>4</v>
      </c>
      <c r="H293" s="4">
        <v>1</v>
      </c>
      <c r="I293" s="4">
        <v>1</v>
      </c>
      <c r="J293" s="3"/>
      <c r="K293" s="4">
        <v>2</v>
      </c>
      <c r="L293" s="3"/>
      <c r="M293" s="4">
        <v>2</v>
      </c>
      <c r="N293" s="4">
        <v>1</v>
      </c>
      <c r="O293" s="4">
        <v>4</v>
      </c>
      <c r="P293" s="4">
        <v>0</v>
      </c>
    </row>
    <row r="294" spans="1:16" x14ac:dyDescent="0.45">
      <c r="A294" s="54">
        <v>20</v>
      </c>
      <c r="B294" s="2" t="s">
        <v>187</v>
      </c>
      <c r="C294" s="2" t="s">
        <v>48</v>
      </c>
      <c r="D294" s="3"/>
      <c r="E294" s="3"/>
      <c r="F294" s="4">
        <v>5</v>
      </c>
      <c r="G294" s="4">
        <v>1</v>
      </c>
      <c r="H294" s="4">
        <v>205</v>
      </c>
      <c r="I294" s="3"/>
      <c r="J294" s="4">
        <v>1540</v>
      </c>
      <c r="K294" s="4">
        <v>2</v>
      </c>
      <c r="L294" s="4">
        <v>2</v>
      </c>
      <c r="M294" s="4">
        <v>510</v>
      </c>
      <c r="N294" s="4">
        <v>800</v>
      </c>
      <c r="O294" s="4">
        <v>500</v>
      </c>
      <c r="P294" s="4">
        <v>1</v>
      </c>
    </row>
    <row r="295" spans="1:16" x14ac:dyDescent="0.45">
      <c r="A295" s="54">
        <v>20</v>
      </c>
      <c r="B295" s="2" t="s">
        <v>187</v>
      </c>
      <c r="C295" s="2" t="s">
        <v>49</v>
      </c>
      <c r="D295" s="4">
        <v>201</v>
      </c>
      <c r="E295" s="4">
        <v>21</v>
      </c>
      <c r="F295" s="4">
        <v>9</v>
      </c>
      <c r="G295" s="4">
        <v>103</v>
      </c>
      <c r="H295" s="4">
        <v>212</v>
      </c>
      <c r="I295" s="4">
        <v>57</v>
      </c>
      <c r="J295" s="4">
        <v>6</v>
      </c>
      <c r="K295" s="4">
        <v>20</v>
      </c>
      <c r="L295" s="4">
        <v>27</v>
      </c>
      <c r="M295" s="4">
        <v>145</v>
      </c>
      <c r="N295" s="4">
        <v>238</v>
      </c>
      <c r="O295" s="4">
        <v>16</v>
      </c>
      <c r="P295" s="4">
        <v>346</v>
      </c>
    </row>
    <row r="296" spans="1:16" x14ac:dyDescent="0.45">
      <c r="A296" s="54">
        <v>20</v>
      </c>
      <c r="B296" s="2" t="s">
        <v>187</v>
      </c>
      <c r="C296" s="2" t="s">
        <v>50</v>
      </c>
      <c r="D296" s="3"/>
      <c r="E296" s="3"/>
      <c r="F296" s="3"/>
      <c r="G296" s="4">
        <v>4</v>
      </c>
      <c r="H296" s="4">
        <v>0</v>
      </c>
      <c r="I296" s="4">
        <v>0</v>
      </c>
      <c r="J296" s="4">
        <v>1</v>
      </c>
      <c r="K296" s="4">
        <v>1</v>
      </c>
      <c r="L296" s="4">
        <v>0</v>
      </c>
      <c r="M296" s="4">
        <v>3</v>
      </c>
      <c r="N296" s="3"/>
      <c r="O296" s="4">
        <v>50</v>
      </c>
      <c r="P296" s="3"/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Glossary</vt:lpstr>
      <vt:lpstr>Ph.2 - Masked Product Insights </vt:lpstr>
      <vt:lpstr>Ph.2 Data Pack-Actual Booking</vt:lpstr>
      <vt:lpstr>Ph.2 - Big Deal </vt:lpstr>
      <vt:lpstr>Ph.2 - SCMS</vt:lpstr>
      <vt:lpstr>Ph.2 - VMS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Anusha Basavaraj Siddannavar (anusbasa)</dc:creator>
  <cp:keywords/>
  <dc:description/>
  <cp:lastModifiedBy>Nayanita Bhattacharyya (naybhatt)</cp:lastModifiedBy>
  <cp:revision/>
  <dcterms:created xsi:type="dcterms:W3CDTF">2026-02-26T08:27:02Z</dcterms:created>
  <dcterms:modified xsi:type="dcterms:W3CDTF">2026-03-16T08:35:04Z</dcterms:modified>
  <cp:category/>
  <cp:contentStatus/>
</cp:coreProperties>
</file>